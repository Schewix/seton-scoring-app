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nzi\Desktop\deskovky22\"/>
    </mc:Choice>
  </mc:AlternateContent>
  <xr:revisionPtr revIDLastSave="0" documentId="13_ncr:1_{1556632A-C440-469D-A0B5-D4F5315FF3D0}" xr6:coauthVersionLast="47" xr6:coauthVersionMax="47" xr10:uidLastSave="{00000000-0000-0000-0000-000000000000}"/>
  <bookViews>
    <workbookView xWindow="-110" yWindow="-110" windowWidth="25820" windowHeight="15500" tabRatio="845" firstSheet="16" activeTab="37" xr2:uid="{00000000-000D-0000-FFFF-FFFF00000000}"/>
  </bookViews>
  <sheets>
    <sheet name="52 " sheetId="40" r:id="rId1"/>
    <sheet name="36 (2)" sheetId="39" r:id="rId2"/>
    <sheet name="List1" sheetId="1" r:id="rId3"/>
    <sheet name="ZDROJ!" sheetId="20" r:id="rId4"/>
    <sheet name="kontrola" sheetId="7" r:id="rId5"/>
    <sheet name="80" sheetId="5" r:id="rId6"/>
    <sheet name="80zdroj" sheetId="6" r:id="rId7"/>
    <sheet name="76" sheetId="11" r:id="rId8"/>
    <sheet name="76zdroj" sheetId="12" r:id="rId9"/>
    <sheet name="72" sheetId="10" r:id="rId10"/>
    <sheet name="72zdroj" sheetId="37" r:id="rId11"/>
    <sheet name="68" sheetId="9" r:id="rId12"/>
    <sheet name="68zdroj" sheetId="36" r:id="rId13"/>
    <sheet name="64" sheetId="8" r:id="rId14"/>
    <sheet name="64zdroj" sheetId="35" r:id="rId15"/>
    <sheet name="60" sheetId="38" r:id="rId16"/>
    <sheet name="60zdroj" sheetId="33" r:id="rId17"/>
    <sheet name="56" sheetId="32" r:id="rId18"/>
    <sheet name="56zdroj" sheetId="31" r:id="rId19"/>
    <sheet name="52" sheetId="30" r:id="rId20"/>
    <sheet name="52zdroj" sheetId="29" r:id="rId21"/>
    <sheet name="48" sheetId="28" r:id="rId22"/>
    <sheet name="48zdroj" sheetId="27" r:id="rId23"/>
    <sheet name="44" sheetId="26" r:id="rId24"/>
    <sheet name="44zdroj" sheetId="25" r:id="rId25"/>
    <sheet name="40" sheetId="24" r:id="rId26"/>
    <sheet name="40zdroj" sheetId="23" r:id="rId27"/>
    <sheet name="36" sheetId="22" r:id="rId28"/>
    <sheet name="36zdroj" sheetId="21" r:id="rId29"/>
    <sheet name="32" sheetId="19" r:id="rId30"/>
    <sheet name="32zdroj" sheetId="4" r:id="rId31"/>
    <sheet name="28" sheetId="18" r:id="rId32"/>
    <sheet name="28zdroj" sheetId="17" r:id="rId33"/>
    <sheet name="24" sheetId="15" r:id="rId34"/>
    <sheet name="24zdroj" sheetId="16" r:id="rId35"/>
    <sheet name="20" sheetId="14" r:id="rId36"/>
    <sheet name="20zdroj" sheetId="13" r:id="rId37"/>
    <sheet name="12" sheetId="43" r:id="rId38"/>
    <sheet name="12zdroj" sheetId="41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41" l="1"/>
  <c r="J41" i="41"/>
  <c r="I41" i="41"/>
  <c r="H41" i="41"/>
  <c r="G41" i="41"/>
  <c r="F41" i="41"/>
  <c r="E23" i="41"/>
  <c r="D23" i="41"/>
  <c r="E22" i="41"/>
  <c r="D22" i="41"/>
  <c r="E21" i="41"/>
  <c r="D21" i="41"/>
  <c r="E20" i="41"/>
  <c r="D20" i="41"/>
  <c r="E19" i="41"/>
  <c r="D19" i="41"/>
  <c r="E17" i="41"/>
  <c r="D17" i="41"/>
  <c r="E16" i="41"/>
  <c r="D16" i="41"/>
  <c r="E15" i="41"/>
  <c r="D15" i="41"/>
  <c r="E14" i="41"/>
  <c r="D14" i="41"/>
  <c r="C9" i="41"/>
  <c r="AL7" i="41"/>
  <c r="AK7" i="41"/>
  <c r="AJ7" i="41"/>
  <c r="AI7" i="41"/>
  <c r="AH7" i="41"/>
  <c r="AG7" i="41"/>
  <c r="AF7" i="41"/>
  <c r="AE7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C7" i="41"/>
  <c r="AL6" i="41"/>
  <c r="AK6" i="41"/>
  <c r="AJ6" i="41"/>
  <c r="AI6" i="41"/>
  <c r="AH6" i="41"/>
  <c r="AG6" i="41"/>
  <c r="AF6" i="41"/>
  <c r="AE6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AL5" i="41"/>
  <c r="AK5" i="41"/>
  <c r="AJ5" i="41"/>
  <c r="AI5" i="41"/>
  <c r="AH5" i="41"/>
  <c r="AG5" i="41"/>
  <c r="AF5" i="41"/>
  <c r="AE5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C5" i="41"/>
  <c r="AL4" i="41"/>
  <c r="AK4" i="41"/>
  <c r="AJ4" i="41"/>
  <c r="AI4" i="41"/>
  <c r="AH4" i="41"/>
  <c r="AG4" i="41"/>
  <c r="AF4" i="41"/>
  <c r="AE4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AL3" i="41"/>
  <c r="AK3" i="41"/>
  <c r="AJ3" i="41"/>
  <c r="AI3" i="41"/>
  <c r="AH3" i="41"/>
  <c r="AG3" i="41"/>
  <c r="AF3" i="41"/>
  <c r="AE3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C3" i="41"/>
  <c r="A2" i="41"/>
  <c r="D1" i="41"/>
  <c r="C1" i="41"/>
  <c r="B1" i="41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AG17" i="33"/>
  <c r="AH17" i="33"/>
  <c r="AI17" i="33"/>
  <c r="AJ17" i="33"/>
  <c r="AK17" i="33"/>
  <c r="AL17" i="33"/>
  <c r="K41" i="37" l="1"/>
  <c r="J41" i="37"/>
  <c r="I41" i="37"/>
  <c r="H41" i="37"/>
  <c r="G41" i="37"/>
  <c r="F41" i="37"/>
  <c r="E23" i="37"/>
  <c r="D23" i="37"/>
  <c r="E22" i="37"/>
  <c r="D22" i="37"/>
  <c r="E21" i="37"/>
  <c r="D21" i="37"/>
  <c r="AL20" i="37"/>
  <c r="AK20" i="37"/>
  <c r="AJ20" i="37"/>
  <c r="AI20" i="37"/>
  <c r="AH20" i="37"/>
  <c r="AG20" i="37"/>
  <c r="AF20" i="37"/>
  <c r="AE20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E20" i="37"/>
  <c r="D20" i="37"/>
  <c r="AL19" i="37"/>
  <c r="AK19" i="37"/>
  <c r="AJ19" i="37"/>
  <c r="AI19" i="37"/>
  <c r="AH19" i="37"/>
  <c r="AG19" i="37"/>
  <c r="AF19" i="37"/>
  <c r="AE19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E19" i="37"/>
  <c r="D19" i="37"/>
  <c r="AL18" i="37"/>
  <c r="AK18" i="37"/>
  <c r="AJ18" i="37"/>
  <c r="AI18" i="37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AL17" i="37"/>
  <c r="AK17" i="37"/>
  <c r="AJ17" i="37"/>
  <c r="AI17" i="37"/>
  <c r="AH17" i="37"/>
  <c r="AG17" i="37"/>
  <c r="AF17" i="37"/>
  <c r="AE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E17" i="37"/>
  <c r="D17" i="37"/>
  <c r="AL16" i="37"/>
  <c r="AK16" i="37"/>
  <c r="AJ16" i="37"/>
  <c r="AI16" i="37"/>
  <c r="AH16" i="37"/>
  <c r="AG16" i="37"/>
  <c r="AF16" i="37"/>
  <c r="AE16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E16" i="37"/>
  <c r="D16" i="37"/>
  <c r="AL15" i="37"/>
  <c r="AK15" i="37"/>
  <c r="AJ15" i="37"/>
  <c r="AI15" i="37"/>
  <c r="AH15" i="37"/>
  <c r="AG15" i="37"/>
  <c r="AF15" i="37"/>
  <c r="AE15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E15" i="37"/>
  <c r="D15" i="37"/>
  <c r="AL14" i="37"/>
  <c r="AK14" i="37"/>
  <c r="AJ14" i="37"/>
  <c r="AI14" i="37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E14" i="37"/>
  <c r="D14" i="37"/>
  <c r="AL13" i="37"/>
  <c r="AK13" i="37"/>
  <c r="AJ13" i="37"/>
  <c r="AI13" i="37"/>
  <c r="AH13" i="37"/>
  <c r="AG13" i="37"/>
  <c r="AF13" i="37"/>
  <c r="AE13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AL12" i="37"/>
  <c r="AK12" i="37"/>
  <c r="AJ12" i="37"/>
  <c r="AI12" i="37"/>
  <c r="AH12" i="37"/>
  <c r="AG12" i="37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AL11" i="37"/>
  <c r="AK11" i="37"/>
  <c r="AJ11" i="37"/>
  <c r="AI11" i="37"/>
  <c r="AH11" i="37"/>
  <c r="AG11" i="37"/>
  <c r="AF11" i="37"/>
  <c r="AE11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AL10" i="37"/>
  <c r="AK10" i="37"/>
  <c r="AJ10" i="37"/>
  <c r="AI10" i="37"/>
  <c r="AH10" i="37"/>
  <c r="AG10" i="37"/>
  <c r="AF10" i="37"/>
  <c r="AE10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AL9" i="37"/>
  <c r="AK9" i="37"/>
  <c r="AJ9" i="37"/>
  <c r="AI9" i="37"/>
  <c r="AH9" i="37"/>
  <c r="AG9" i="37"/>
  <c r="AF9" i="37"/>
  <c r="AE9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C9" i="37"/>
  <c r="AL8" i="37"/>
  <c r="AK8" i="37"/>
  <c r="AJ8" i="37"/>
  <c r="AI8" i="37"/>
  <c r="AH8" i="37"/>
  <c r="AG8" i="37"/>
  <c r="AF8" i="37"/>
  <c r="AE8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AL7" i="37"/>
  <c r="AK7" i="37"/>
  <c r="AJ7" i="37"/>
  <c r="AI7" i="37"/>
  <c r="AH7" i="37"/>
  <c r="AG7" i="37"/>
  <c r="AF7" i="37"/>
  <c r="AE7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C7" i="37"/>
  <c r="AL6" i="37"/>
  <c r="AK6" i="37"/>
  <c r="AJ6" i="37"/>
  <c r="AI6" i="37"/>
  <c r="AH6" i="37"/>
  <c r="AG6" i="37"/>
  <c r="AF6" i="37"/>
  <c r="AE6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AL5" i="37"/>
  <c r="AK5" i="37"/>
  <c r="AJ5" i="37"/>
  <c r="AI5" i="37"/>
  <c r="AH5" i="37"/>
  <c r="AG5" i="37"/>
  <c r="AF5" i="37"/>
  <c r="AE5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C5" i="37"/>
  <c r="AL4" i="37"/>
  <c r="AK4" i="37"/>
  <c r="AJ4" i="37"/>
  <c r="AI4" i="37"/>
  <c r="AH4" i="37"/>
  <c r="AG4" i="37"/>
  <c r="AF4" i="37"/>
  <c r="AE4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AL3" i="37"/>
  <c r="AK3" i="37"/>
  <c r="AJ3" i="37"/>
  <c r="AI3" i="37"/>
  <c r="AH3" i="37"/>
  <c r="AG3" i="37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C3" i="37"/>
  <c r="A2" i="37"/>
  <c r="D1" i="37"/>
  <c r="C1" i="37"/>
  <c r="B1" i="37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K41" i="36"/>
  <c r="J41" i="36"/>
  <c r="I41" i="36"/>
  <c r="H41" i="36"/>
  <c r="G41" i="36"/>
  <c r="F41" i="36"/>
  <c r="E23" i="36"/>
  <c r="D23" i="36"/>
  <c r="E22" i="36"/>
  <c r="D22" i="36"/>
  <c r="E21" i="36"/>
  <c r="D21" i="36"/>
  <c r="E20" i="36"/>
  <c r="D20" i="36"/>
  <c r="AL19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E19" i="36"/>
  <c r="D19" i="36"/>
  <c r="AL18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AL17" i="36"/>
  <c r="AK17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E17" i="36"/>
  <c r="D17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E16" i="36"/>
  <c r="D16" i="36"/>
  <c r="AL15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E15" i="36"/>
  <c r="D15" i="36"/>
  <c r="AL14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E14" i="36"/>
  <c r="D14" i="36"/>
  <c r="AL13" i="36"/>
  <c r="AK13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AL12" i="36"/>
  <c r="AK12" i="36"/>
  <c r="AJ12" i="36"/>
  <c r="AI12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AL11" i="36"/>
  <c r="AK11" i="36"/>
  <c r="AJ11" i="36"/>
  <c r="AI11" i="36"/>
  <c r="AH11" i="36"/>
  <c r="AG11" i="36"/>
  <c r="AF11" i="36"/>
  <c r="AE11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AL9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C9" i="36"/>
  <c r="AL8" i="36"/>
  <c r="AK8" i="36"/>
  <c r="AJ8" i="36"/>
  <c r="AI8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AL7" i="36"/>
  <c r="AK7" i="36"/>
  <c r="AJ7" i="36"/>
  <c r="AI7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C7" i="36"/>
  <c r="AL6" i="36"/>
  <c r="AK6" i="36"/>
  <c r="AJ6" i="36"/>
  <c r="AI6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AL5" i="36"/>
  <c r="AK5" i="36"/>
  <c r="AJ5" i="36"/>
  <c r="AI5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C5" i="36"/>
  <c r="AL4" i="36"/>
  <c r="AK4" i="36"/>
  <c r="AJ4" i="36"/>
  <c r="AI4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AL3" i="36"/>
  <c r="AK3" i="36"/>
  <c r="AJ3" i="36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C3" i="36"/>
  <c r="A2" i="36"/>
  <c r="D1" i="36"/>
  <c r="C1" i="36"/>
  <c r="B1" i="36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K41" i="35"/>
  <c r="J41" i="35"/>
  <c r="I41" i="35"/>
  <c r="H41" i="35"/>
  <c r="G41" i="35"/>
  <c r="F41" i="35"/>
  <c r="E23" i="35"/>
  <c r="D23" i="35"/>
  <c r="E22" i="35"/>
  <c r="D22" i="35"/>
  <c r="E21" i="35"/>
  <c r="D21" i="35"/>
  <c r="E20" i="35"/>
  <c r="D20" i="35"/>
  <c r="E19" i="35"/>
  <c r="D19" i="35"/>
  <c r="AL18" i="35"/>
  <c r="AK18" i="35"/>
  <c r="AJ18" i="35"/>
  <c r="AI18" i="35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AL17" i="35"/>
  <c r="AK17" i="35"/>
  <c r="AJ17" i="35"/>
  <c r="AI17" i="35"/>
  <c r="AH17" i="35"/>
  <c r="AG17" i="35"/>
  <c r="AF17" i="35"/>
  <c r="AE17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E17" i="35"/>
  <c r="D17" i="35"/>
  <c r="AL16" i="35"/>
  <c r="AK16" i="35"/>
  <c r="AJ16" i="35"/>
  <c r="AI16" i="35"/>
  <c r="AH16" i="35"/>
  <c r="AG16" i="35"/>
  <c r="AF16" i="35"/>
  <c r="AE16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E16" i="35"/>
  <c r="D16" i="35"/>
  <c r="AL15" i="35"/>
  <c r="AK15" i="35"/>
  <c r="AJ15" i="35"/>
  <c r="AI15" i="35"/>
  <c r="AH15" i="35"/>
  <c r="AG15" i="35"/>
  <c r="AF15" i="35"/>
  <c r="AE15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E15" i="35"/>
  <c r="D15" i="35"/>
  <c r="AL14" i="35"/>
  <c r="AK14" i="35"/>
  <c r="AJ14" i="35"/>
  <c r="AI14" i="35"/>
  <c r="AH14" i="35"/>
  <c r="AG14" i="35"/>
  <c r="AF14" i="35"/>
  <c r="AE14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E14" i="35"/>
  <c r="D14" i="35"/>
  <c r="AL13" i="35"/>
  <c r="AK13" i="35"/>
  <c r="AJ13" i="35"/>
  <c r="AI13" i="35"/>
  <c r="AH13" i="35"/>
  <c r="AG13" i="35"/>
  <c r="AF13" i="35"/>
  <c r="AE13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AL12" i="35"/>
  <c r="AK12" i="35"/>
  <c r="AJ12" i="35"/>
  <c r="AI12" i="35"/>
  <c r="AH12" i="35"/>
  <c r="AG12" i="35"/>
  <c r="AF12" i="35"/>
  <c r="AE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AL11" i="35"/>
  <c r="AK11" i="35"/>
  <c r="AJ11" i="35"/>
  <c r="AI11" i="35"/>
  <c r="AH11" i="35"/>
  <c r="AG11" i="35"/>
  <c r="AF11" i="35"/>
  <c r="AE11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AL9" i="35"/>
  <c r="AK9" i="35"/>
  <c r="AJ9" i="35"/>
  <c r="AI9" i="35"/>
  <c r="AH9" i="35"/>
  <c r="AG9" i="35"/>
  <c r="AF9" i="35"/>
  <c r="AE9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C9" i="35"/>
  <c r="AL8" i="35"/>
  <c r="AK8" i="35"/>
  <c r="AJ8" i="35"/>
  <c r="AI8" i="35"/>
  <c r="AH8" i="35"/>
  <c r="AG8" i="35"/>
  <c r="AF8" i="35"/>
  <c r="AE8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AL7" i="35"/>
  <c r="AK7" i="35"/>
  <c r="AJ7" i="35"/>
  <c r="AI7" i="35"/>
  <c r="AH7" i="35"/>
  <c r="AG7" i="35"/>
  <c r="AF7" i="35"/>
  <c r="AE7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C7" i="35"/>
  <c r="AL6" i="35"/>
  <c r="AK6" i="35"/>
  <c r="AJ6" i="35"/>
  <c r="AI6" i="35"/>
  <c r="AH6" i="35"/>
  <c r="AG6" i="35"/>
  <c r="AF6" i="35"/>
  <c r="AE6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AL5" i="35"/>
  <c r="AK5" i="35"/>
  <c r="AJ5" i="35"/>
  <c r="AI5" i="35"/>
  <c r="AH5" i="35"/>
  <c r="AG5" i="35"/>
  <c r="AF5" i="35"/>
  <c r="AE5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C5" i="35"/>
  <c r="AL4" i="35"/>
  <c r="AK4" i="35"/>
  <c r="AJ4" i="35"/>
  <c r="AI4" i="35"/>
  <c r="AH4" i="35"/>
  <c r="AG4" i="35"/>
  <c r="AF4" i="35"/>
  <c r="AE4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AL3" i="35"/>
  <c r="AK3" i="35"/>
  <c r="AJ3" i="35"/>
  <c r="AI3" i="35"/>
  <c r="AH3" i="35"/>
  <c r="AG3" i="35"/>
  <c r="AF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C3" i="35"/>
  <c r="A2" i="35"/>
  <c r="D1" i="35"/>
  <c r="C1" i="35"/>
  <c r="B1" i="35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K41" i="33"/>
  <c r="J41" i="33"/>
  <c r="I41" i="33"/>
  <c r="H41" i="33"/>
  <c r="G41" i="33"/>
  <c r="F41" i="33"/>
  <c r="E23" i="33"/>
  <c r="D23" i="33"/>
  <c r="E22" i="33"/>
  <c r="D22" i="33"/>
  <c r="E21" i="33"/>
  <c r="D21" i="33"/>
  <c r="E20" i="33"/>
  <c r="D20" i="33"/>
  <c r="E19" i="33"/>
  <c r="D19" i="33"/>
  <c r="E17" i="33"/>
  <c r="D17" i="33"/>
  <c r="AL16" i="33"/>
  <c r="AK16" i="33"/>
  <c r="AJ16" i="33"/>
  <c r="AI16" i="33"/>
  <c r="AH16" i="33"/>
  <c r="AG16" i="33"/>
  <c r="AF16" i="33"/>
  <c r="AE16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E16" i="33"/>
  <c r="D16" i="33"/>
  <c r="AL15" i="33"/>
  <c r="AK15" i="33"/>
  <c r="AJ15" i="33"/>
  <c r="AI15" i="33"/>
  <c r="AH15" i="33"/>
  <c r="AG15" i="33"/>
  <c r="AF15" i="33"/>
  <c r="AE15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E15" i="33"/>
  <c r="D15" i="33"/>
  <c r="AL14" i="33"/>
  <c r="AK14" i="33"/>
  <c r="AJ14" i="33"/>
  <c r="AI14" i="33"/>
  <c r="AH14" i="33"/>
  <c r="AG14" i="33"/>
  <c r="AF14" i="33"/>
  <c r="AE14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E14" i="33"/>
  <c r="D14" i="33"/>
  <c r="AL13" i="33"/>
  <c r="AK13" i="33"/>
  <c r="AJ13" i="33"/>
  <c r="AI13" i="33"/>
  <c r="AH13" i="33"/>
  <c r="AG13" i="33"/>
  <c r="AF13" i="33"/>
  <c r="AE13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AL12" i="33"/>
  <c r="AK12" i="33"/>
  <c r="AJ12" i="33"/>
  <c r="AI12" i="33"/>
  <c r="AH12" i="33"/>
  <c r="AG12" i="33"/>
  <c r="AF12" i="33"/>
  <c r="AE12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AL11" i="33"/>
  <c r="AK11" i="33"/>
  <c r="AJ11" i="33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AL10" i="33"/>
  <c r="AK10" i="33"/>
  <c r="AJ10" i="33"/>
  <c r="AI10" i="33"/>
  <c r="AH10" i="33"/>
  <c r="AG10" i="33"/>
  <c r="AF10" i="33"/>
  <c r="AE10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AL9" i="33"/>
  <c r="AK9" i="33"/>
  <c r="AJ9" i="33"/>
  <c r="AI9" i="33"/>
  <c r="AH9" i="33"/>
  <c r="AG9" i="33"/>
  <c r="AF9" i="33"/>
  <c r="AE9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C9" i="33"/>
  <c r="AL8" i="33"/>
  <c r="AK8" i="33"/>
  <c r="AJ8" i="33"/>
  <c r="AI8" i="33"/>
  <c r="AH8" i="33"/>
  <c r="AG8" i="33"/>
  <c r="AF8" i="33"/>
  <c r="AE8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C7" i="33"/>
  <c r="AL6" i="33"/>
  <c r="AK6" i="33"/>
  <c r="AJ6" i="33"/>
  <c r="AI6" i="33"/>
  <c r="AH6" i="33"/>
  <c r="AG6" i="33"/>
  <c r="AF6" i="33"/>
  <c r="AE6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AL5" i="33"/>
  <c r="AK5" i="33"/>
  <c r="AJ5" i="33"/>
  <c r="AI5" i="33"/>
  <c r="AH5" i="33"/>
  <c r="AG5" i="33"/>
  <c r="AF5" i="33"/>
  <c r="AE5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C5" i="33"/>
  <c r="AL4" i="33"/>
  <c r="AK4" i="33"/>
  <c r="AJ4" i="33"/>
  <c r="AI4" i="33"/>
  <c r="AH4" i="33"/>
  <c r="AG4" i="33"/>
  <c r="AF4" i="33"/>
  <c r="AE4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AL3" i="33"/>
  <c r="AK3" i="33"/>
  <c r="AJ3" i="33"/>
  <c r="AI3" i="33"/>
  <c r="AH3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C3" i="33"/>
  <c r="A2" i="33"/>
  <c r="D1" i="33"/>
  <c r="C1" i="33"/>
  <c r="B1" i="33"/>
  <c r="K41" i="31"/>
  <c r="J41" i="31"/>
  <c r="I41" i="31"/>
  <c r="H41" i="31"/>
  <c r="G41" i="31"/>
  <c r="F41" i="31"/>
  <c r="E23" i="31"/>
  <c r="D23" i="31"/>
  <c r="E22" i="31"/>
  <c r="D22" i="31"/>
  <c r="E21" i="31"/>
  <c r="D21" i="31"/>
  <c r="E20" i="31"/>
  <c r="D20" i="31"/>
  <c r="E19" i="31"/>
  <c r="D19" i="31"/>
  <c r="E17" i="31"/>
  <c r="D17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E16" i="31"/>
  <c r="D16" i="31"/>
  <c r="AL15" i="31"/>
  <c r="AK15" i="31"/>
  <c r="AJ15" i="31"/>
  <c r="AI15" i="31"/>
  <c r="AH15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E15" i="31"/>
  <c r="D15" i="31"/>
  <c r="AL14" i="31"/>
  <c r="AK14" i="31"/>
  <c r="AJ14" i="31"/>
  <c r="AI14" i="31"/>
  <c r="AH14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E14" i="31"/>
  <c r="D14" i="31"/>
  <c r="AL13" i="31"/>
  <c r="AK13" i="31"/>
  <c r="AJ13" i="31"/>
  <c r="AI13" i="31"/>
  <c r="AH13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AL12" i="31"/>
  <c r="AK12" i="31"/>
  <c r="AJ12" i="31"/>
  <c r="AI12" i="31"/>
  <c r="AH12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AL11" i="31"/>
  <c r="AK11" i="31"/>
  <c r="AJ11" i="31"/>
  <c r="AI11" i="31"/>
  <c r="AH11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AL10" i="31"/>
  <c r="AK10" i="31"/>
  <c r="AJ10" i="31"/>
  <c r="AI10" i="31"/>
  <c r="AH10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AL9" i="31"/>
  <c r="AK9" i="31"/>
  <c r="AJ9" i="31"/>
  <c r="AI9" i="31"/>
  <c r="AH9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C9" i="31"/>
  <c r="AL8" i="31"/>
  <c r="AK8" i="31"/>
  <c r="AJ8" i="31"/>
  <c r="AI8" i="31"/>
  <c r="AH8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AL7" i="31"/>
  <c r="AK7" i="31"/>
  <c r="AJ7" i="31"/>
  <c r="AI7" i="31"/>
  <c r="AH7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C7" i="31"/>
  <c r="AL6" i="31"/>
  <c r="AK6" i="31"/>
  <c r="AJ6" i="31"/>
  <c r="AI6" i="31"/>
  <c r="AH6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AL5" i="31"/>
  <c r="AK5" i="31"/>
  <c r="AJ5" i="31"/>
  <c r="AI5" i="31"/>
  <c r="AH5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C5" i="31"/>
  <c r="AL4" i="31"/>
  <c r="AK4" i="31"/>
  <c r="AJ4" i="31"/>
  <c r="AI4" i="31"/>
  <c r="AH4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AL3" i="31"/>
  <c r="AK3" i="31"/>
  <c r="AJ3" i="31"/>
  <c r="AI3" i="31"/>
  <c r="AH3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C3" i="31"/>
  <c r="A2" i="31"/>
  <c r="D1" i="31"/>
  <c r="C1" i="31"/>
  <c r="B1" i="31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K41" i="29"/>
  <c r="J41" i="29"/>
  <c r="I41" i="29"/>
  <c r="H41" i="29"/>
  <c r="G41" i="29"/>
  <c r="F41" i="29"/>
  <c r="E23" i="29"/>
  <c r="D23" i="29"/>
  <c r="E22" i="29"/>
  <c r="D22" i="29"/>
  <c r="E21" i="29"/>
  <c r="D21" i="29"/>
  <c r="E20" i="29"/>
  <c r="D20" i="29"/>
  <c r="E19" i="29"/>
  <c r="D19" i="29"/>
  <c r="E17" i="29"/>
  <c r="D17" i="29"/>
  <c r="E16" i="29"/>
  <c r="D16" i="29"/>
  <c r="AL15" i="29"/>
  <c r="AK15" i="29"/>
  <c r="AJ15" i="29"/>
  <c r="AI15" i="29"/>
  <c r="AH15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E15" i="29"/>
  <c r="D15" i="29"/>
  <c r="AL14" i="29"/>
  <c r="AK14" i="29"/>
  <c r="AJ14" i="29"/>
  <c r="AI14" i="29"/>
  <c r="AH14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E14" i="29"/>
  <c r="D14" i="29"/>
  <c r="AL13" i="29"/>
  <c r="AK13" i="29"/>
  <c r="AJ13" i="29"/>
  <c r="AI13" i="29"/>
  <c r="AH13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AL12" i="29"/>
  <c r="AK12" i="29"/>
  <c r="AJ12" i="29"/>
  <c r="AI12" i="29"/>
  <c r="AH12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AL11" i="29"/>
  <c r="AK11" i="29"/>
  <c r="AJ11" i="29"/>
  <c r="AI11" i="29"/>
  <c r="AH11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AL10" i="29"/>
  <c r="AK10" i="29"/>
  <c r="AJ10" i="29"/>
  <c r="AI10" i="29"/>
  <c r="AH10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AL9" i="29"/>
  <c r="AK9" i="29"/>
  <c r="AJ9" i="29"/>
  <c r="AI9" i="29"/>
  <c r="AH9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C9" i="29"/>
  <c r="AL8" i="29"/>
  <c r="AK8" i="29"/>
  <c r="AJ8" i="29"/>
  <c r="AI8" i="29"/>
  <c r="AH8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AL7" i="29"/>
  <c r="AK7" i="29"/>
  <c r="AJ7" i="29"/>
  <c r="AI7" i="29"/>
  <c r="AH7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C7" i="29"/>
  <c r="AL6" i="29"/>
  <c r="AK6" i="29"/>
  <c r="AJ6" i="29"/>
  <c r="AI6" i="29"/>
  <c r="AH6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AL5" i="29"/>
  <c r="AK5" i="29"/>
  <c r="AJ5" i="29"/>
  <c r="AI5" i="29"/>
  <c r="AH5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C5" i="29"/>
  <c r="AL4" i="29"/>
  <c r="AK4" i="29"/>
  <c r="AJ4" i="29"/>
  <c r="AI4" i="29"/>
  <c r="AH4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AL3" i="29"/>
  <c r="AK3" i="29"/>
  <c r="AJ3" i="29"/>
  <c r="AI3" i="29"/>
  <c r="AH3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C3" i="29"/>
  <c r="A2" i="29"/>
  <c r="D1" i="29"/>
  <c r="C1" i="29"/>
  <c r="B1" i="29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K41" i="27"/>
  <c r="J41" i="27"/>
  <c r="I41" i="27"/>
  <c r="H41" i="27"/>
  <c r="G41" i="27"/>
  <c r="F41" i="27"/>
  <c r="E23" i="27"/>
  <c r="D23" i="27"/>
  <c r="E22" i="27"/>
  <c r="D22" i="27"/>
  <c r="E21" i="27"/>
  <c r="D21" i="27"/>
  <c r="E20" i="27"/>
  <c r="D20" i="27"/>
  <c r="E19" i="27"/>
  <c r="D19" i="27"/>
  <c r="E17" i="27"/>
  <c r="D17" i="27"/>
  <c r="E16" i="27"/>
  <c r="D16" i="27"/>
  <c r="E15" i="27"/>
  <c r="D15" i="27"/>
  <c r="AL14" i="27"/>
  <c r="AK14" i="27"/>
  <c r="AJ14" i="27"/>
  <c r="AI14" i="27"/>
  <c r="AH14" i="27"/>
  <c r="AG14" i="27"/>
  <c r="AF14" i="27"/>
  <c r="AE14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E14" i="27"/>
  <c r="D14" i="27"/>
  <c r="AL13" i="27"/>
  <c r="AK13" i="27"/>
  <c r="AJ13" i="27"/>
  <c r="AI13" i="27"/>
  <c r="AH13" i="27"/>
  <c r="AG13" i="27"/>
  <c r="AF13" i="27"/>
  <c r="AE13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AL12" i="27"/>
  <c r="AK12" i="27"/>
  <c r="AJ12" i="27"/>
  <c r="AI12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AL11" i="27"/>
  <c r="AK11" i="27"/>
  <c r="AJ11" i="27"/>
  <c r="AI11" i="27"/>
  <c r="AH11" i="27"/>
  <c r="AG11" i="27"/>
  <c r="AF11" i="27"/>
  <c r="AE11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AL10" i="27"/>
  <c r="AK10" i="27"/>
  <c r="AJ10" i="27"/>
  <c r="AI10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AL9" i="27"/>
  <c r="AK9" i="27"/>
  <c r="AJ9" i="27"/>
  <c r="AI9" i="27"/>
  <c r="AH9" i="27"/>
  <c r="AG9" i="27"/>
  <c r="AF9" i="27"/>
  <c r="AE9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C9" i="27"/>
  <c r="AL8" i="27"/>
  <c r="AK8" i="27"/>
  <c r="AJ8" i="27"/>
  <c r="AI8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AL7" i="27"/>
  <c r="AK7" i="27"/>
  <c r="AJ7" i="27"/>
  <c r="AI7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C7" i="27"/>
  <c r="AL6" i="27"/>
  <c r="AK6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AL5" i="27"/>
  <c r="AK5" i="27"/>
  <c r="AJ5" i="27"/>
  <c r="AI5" i="27"/>
  <c r="AH5" i="27"/>
  <c r="AG5" i="27"/>
  <c r="AF5" i="27"/>
  <c r="AE5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C5" i="27"/>
  <c r="AL4" i="27"/>
  <c r="AK4" i="27"/>
  <c r="AJ4" i="27"/>
  <c r="AI4" i="27"/>
  <c r="AH4" i="27"/>
  <c r="AG4" i="27"/>
  <c r="AF4" i="27"/>
  <c r="AE4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AL3" i="27"/>
  <c r="AK3" i="27"/>
  <c r="AJ3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C3" i="27"/>
  <c r="A2" i="27"/>
  <c r="D1" i="27"/>
  <c r="C1" i="27"/>
  <c r="B1" i="27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K41" i="25"/>
  <c r="J41" i="25"/>
  <c r="I41" i="25"/>
  <c r="H41" i="25"/>
  <c r="G41" i="25"/>
  <c r="F41" i="25"/>
  <c r="E23" i="25"/>
  <c r="D23" i="25"/>
  <c r="E22" i="25"/>
  <c r="D22" i="25"/>
  <c r="E21" i="25"/>
  <c r="D21" i="25"/>
  <c r="E20" i="25"/>
  <c r="D20" i="25"/>
  <c r="E19" i="25"/>
  <c r="D19" i="25"/>
  <c r="E17" i="25"/>
  <c r="D17" i="25"/>
  <c r="E16" i="25"/>
  <c r="D16" i="25"/>
  <c r="E15" i="25"/>
  <c r="D15" i="25"/>
  <c r="E14" i="25"/>
  <c r="D14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C9" i="25"/>
  <c r="AL8" i="25"/>
  <c r="AK8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AL7" i="25"/>
  <c r="AK7" i="25"/>
  <c r="AJ7" i="25"/>
  <c r="AI7" i="25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C7" i="25"/>
  <c r="AL6" i="25"/>
  <c r="AK6" i="25"/>
  <c r="AJ6" i="25"/>
  <c r="AI6" i="25"/>
  <c r="AH6" i="25"/>
  <c r="AG6" i="25"/>
  <c r="AF6" i="25"/>
  <c r="AE6" i="25"/>
  <c r="AD6" i="25"/>
  <c r="AC6" i="25"/>
  <c r="AB6" i="25"/>
  <c r="AA6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AL5" i="25"/>
  <c r="AK5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C5" i="25"/>
  <c r="AL4" i="25"/>
  <c r="AK4" i="25"/>
  <c r="AJ4" i="25"/>
  <c r="AI4" i="25"/>
  <c r="AH4" i="25"/>
  <c r="AG4" i="25"/>
  <c r="AF4" i="25"/>
  <c r="AE4" i="25"/>
  <c r="AD4" i="25"/>
  <c r="AC4" i="25"/>
  <c r="AB4" i="25"/>
  <c r="AA4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AL3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C3" i="25"/>
  <c r="A2" i="25"/>
  <c r="D1" i="25"/>
  <c r="C1" i="25"/>
  <c r="B1" i="25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K41" i="23"/>
  <c r="J41" i="23"/>
  <c r="I41" i="23"/>
  <c r="H41" i="23"/>
  <c r="G41" i="23"/>
  <c r="F41" i="23"/>
  <c r="E23" i="23"/>
  <c r="D23" i="23"/>
  <c r="E22" i="23"/>
  <c r="D22" i="23"/>
  <c r="E21" i="23"/>
  <c r="D21" i="23"/>
  <c r="E20" i="23"/>
  <c r="D20" i="23"/>
  <c r="E19" i="23"/>
  <c r="D19" i="23"/>
  <c r="E17" i="23"/>
  <c r="D17" i="23"/>
  <c r="E16" i="23"/>
  <c r="D16" i="23"/>
  <c r="E15" i="23"/>
  <c r="D15" i="23"/>
  <c r="E14" i="23"/>
  <c r="D14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C9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C7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C5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C3" i="23"/>
  <c r="A2" i="23"/>
  <c r="D1" i="23"/>
  <c r="C1" i="23"/>
  <c r="B1" i="23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K41" i="21"/>
  <c r="J41" i="21"/>
  <c r="I41" i="21"/>
  <c r="H41" i="21"/>
  <c r="G41" i="21"/>
  <c r="F41" i="21"/>
  <c r="E23" i="21"/>
  <c r="D23" i="21"/>
  <c r="E22" i="21"/>
  <c r="D22" i="21"/>
  <c r="E21" i="21"/>
  <c r="D21" i="21"/>
  <c r="E20" i="21"/>
  <c r="D20" i="21"/>
  <c r="E19" i="21"/>
  <c r="D19" i="21"/>
  <c r="E17" i="21"/>
  <c r="D17" i="21"/>
  <c r="E16" i="21"/>
  <c r="D16" i="21"/>
  <c r="E15" i="21"/>
  <c r="D15" i="21"/>
  <c r="E14" i="21"/>
  <c r="D14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C9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C7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C5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C3" i="21"/>
  <c r="A2" i="21"/>
  <c r="D1" i="21"/>
  <c r="C1" i="21"/>
  <c r="B1" i="21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K41" i="20"/>
  <c r="J41" i="20"/>
  <c r="I41" i="20"/>
  <c r="H41" i="20"/>
  <c r="G41" i="20"/>
  <c r="F41" i="20"/>
  <c r="E23" i="20"/>
  <c r="D23" i="20"/>
  <c r="E22" i="20"/>
  <c r="D22" i="20"/>
  <c r="E21" i="20"/>
  <c r="D21" i="20"/>
  <c r="E20" i="20"/>
  <c r="D20" i="20"/>
  <c r="E19" i="20"/>
  <c r="D19" i="20"/>
  <c r="E17" i="20"/>
  <c r="D17" i="20"/>
  <c r="E16" i="20"/>
  <c r="D16" i="20"/>
  <c r="E15" i="20"/>
  <c r="D15" i="20"/>
  <c r="E14" i="20"/>
  <c r="D14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C9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C7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C5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C3" i="20"/>
  <c r="A2" i="20"/>
  <c r="D1" i="20"/>
  <c r="C1" i="20"/>
  <c r="B1" i="20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K41" i="17"/>
  <c r="J41" i="17"/>
  <c r="I41" i="17"/>
  <c r="H41" i="17"/>
  <c r="G41" i="17"/>
  <c r="F41" i="17"/>
  <c r="E23" i="17"/>
  <c r="D23" i="17"/>
  <c r="E22" i="17"/>
  <c r="D22" i="17"/>
  <c r="E21" i="17"/>
  <c r="D21" i="17"/>
  <c r="E20" i="17"/>
  <c r="D20" i="17"/>
  <c r="E19" i="17"/>
  <c r="D19" i="17"/>
  <c r="E17" i="17"/>
  <c r="D17" i="17"/>
  <c r="E16" i="17"/>
  <c r="D16" i="17"/>
  <c r="E15" i="17"/>
  <c r="D15" i="17"/>
  <c r="E14" i="17"/>
  <c r="D14" i="17"/>
  <c r="C9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C7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AL5" i="17"/>
  <c r="AK5" i="17"/>
  <c r="AJ5" i="17"/>
  <c r="AI5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C5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C3" i="17"/>
  <c r="A2" i="17"/>
  <c r="D1" i="17"/>
  <c r="C1" i="17"/>
  <c r="B1" i="17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L8" i="16" l="1"/>
  <c r="AK8" i="16"/>
  <c r="AJ8" i="16"/>
  <c r="AI8" i="16"/>
  <c r="AL7" i="16"/>
  <c r="AK7" i="16"/>
  <c r="AJ7" i="16"/>
  <c r="AI7" i="16"/>
  <c r="AL6" i="16"/>
  <c r="AK6" i="16"/>
  <c r="AJ6" i="16"/>
  <c r="AI6" i="16"/>
  <c r="AL5" i="16"/>
  <c r="AK5" i="16"/>
  <c r="AJ5" i="16"/>
  <c r="AI5" i="16"/>
  <c r="AL4" i="16"/>
  <c r="AK4" i="16"/>
  <c r="AJ4" i="16"/>
  <c r="AI4" i="16"/>
  <c r="AL3" i="16"/>
  <c r="AK3" i="16"/>
  <c r="AJ3" i="16"/>
  <c r="AI3" i="16"/>
  <c r="AH8" i="16"/>
  <c r="AG8" i="16"/>
  <c r="AF8" i="16"/>
  <c r="AE8" i="16"/>
  <c r="AH7" i="16"/>
  <c r="AG7" i="16"/>
  <c r="AF7" i="16"/>
  <c r="AE7" i="16"/>
  <c r="AH6" i="16"/>
  <c r="AG6" i="16"/>
  <c r="AF6" i="16"/>
  <c r="AE6" i="16"/>
  <c r="AH5" i="16"/>
  <c r="AG5" i="16"/>
  <c r="AF5" i="16"/>
  <c r="AE5" i="16"/>
  <c r="AH4" i="16"/>
  <c r="AG4" i="16"/>
  <c r="AF4" i="16"/>
  <c r="AE4" i="16"/>
  <c r="AH3" i="16"/>
  <c r="AG3" i="16"/>
  <c r="AF3" i="16"/>
  <c r="AE3" i="16"/>
  <c r="AD8" i="16"/>
  <c r="AC8" i="16"/>
  <c r="AB8" i="16"/>
  <c r="AA8" i="16"/>
  <c r="AD7" i="16"/>
  <c r="AC7" i="16"/>
  <c r="AB7" i="16"/>
  <c r="AA7" i="16"/>
  <c r="AD6" i="16"/>
  <c r="AC6" i="16"/>
  <c r="AB6" i="16"/>
  <c r="AA6" i="16"/>
  <c r="AD5" i="16"/>
  <c r="AC5" i="16"/>
  <c r="AB5" i="16"/>
  <c r="AA5" i="16"/>
  <c r="AD4" i="16"/>
  <c r="AC4" i="16"/>
  <c r="AB4" i="16"/>
  <c r="AA4" i="16"/>
  <c r="AD3" i="16"/>
  <c r="AC3" i="16"/>
  <c r="AB3" i="16"/>
  <c r="AA3" i="16"/>
  <c r="W4" i="16"/>
  <c r="X4" i="16"/>
  <c r="Y4" i="16"/>
  <c r="Z4" i="16"/>
  <c r="W5" i="16"/>
  <c r="X5" i="16"/>
  <c r="Y5" i="16"/>
  <c r="Z5" i="16"/>
  <c r="W6" i="16"/>
  <c r="X6" i="16"/>
  <c r="Y6" i="16"/>
  <c r="Z6" i="16"/>
  <c r="W7" i="16"/>
  <c r="X7" i="16"/>
  <c r="Y7" i="16"/>
  <c r="Z7" i="16"/>
  <c r="W8" i="16"/>
  <c r="X8" i="16"/>
  <c r="Y8" i="16"/>
  <c r="Z8" i="16"/>
  <c r="Z3" i="16"/>
  <c r="Y3" i="16"/>
  <c r="X3" i="16"/>
  <c r="W3" i="16"/>
  <c r="K41" i="16"/>
  <c r="J41" i="16"/>
  <c r="I41" i="16"/>
  <c r="H41" i="16"/>
  <c r="G41" i="16"/>
  <c r="F41" i="16"/>
  <c r="E23" i="16"/>
  <c r="D23" i="16"/>
  <c r="E22" i="16"/>
  <c r="D22" i="16"/>
  <c r="E21" i="16"/>
  <c r="D21" i="16"/>
  <c r="E20" i="16"/>
  <c r="D20" i="16"/>
  <c r="E19" i="16"/>
  <c r="D19" i="16"/>
  <c r="E17" i="16"/>
  <c r="D17" i="16"/>
  <c r="E16" i="16"/>
  <c r="D16" i="16"/>
  <c r="E15" i="16"/>
  <c r="D15" i="16"/>
  <c r="E14" i="16"/>
  <c r="D14" i="16"/>
  <c r="C9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C7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C5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C3" i="16"/>
  <c r="A2" i="16"/>
  <c r="D1" i="16"/>
  <c r="C1" i="16"/>
  <c r="B1" i="16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L7" i="13"/>
  <c r="AK7" i="13"/>
  <c r="AJ7" i="13"/>
  <c r="AI7" i="13"/>
  <c r="AL6" i="13"/>
  <c r="AK6" i="13"/>
  <c r="AJ6" i="13"/>
  <c r="AI6" i="13"/>
  <c r="AL5" i="13"/>
  <c r="AK5" i="13"/>
  <c r="AJ5" i="13"/>
  <c r="AI5" i="13"/>
  <c r="AL4" i="13"/>
  <c r="AK4" i="13"/>
  <c r="AJ4" i="13"/>
  <c r="AI4" i="13"/>
  <c r="AL3" i="13"/>
  <c r="AK3" i="13"/>
  <c r="AJ3" i="13"/>
  <c r="AI3" i="13"/>
  <c r="AH7" i="13"/>
  <c r="AG7" i="13"/>
  <c r="AF7" i="13"/>
  <c r="AE7" i="13"/>
  <c r="AH6" i="13"/>
  <c r="AG6" i="13"/>
  <c r="AF6" i="13"/>
  <c r="AE6" i="13"/>
  <c r="AH5" i="13"/>
  <c r="AG5" i="13"/>
  <c r="AF5" i="13"/>
  <c r="AE5" i="13"/>
  <c r="AH4" i="13"/>
  <c r="AG4" i="13"/>
  <c r="AF4" i="13"/>
  <c r="AE4" i="13"/>
  <c r="AH3" i="13"/>
  <c r="AG3" i="13"/>
  <c r="AF3" i="13"/>
  <c r="AE3" i="13"/>
  <c r="AD7" i="13"/>
  <c r="AC7" i="13"/>
  <c r="AB7" i="13"/>
  <c r="AA7" i="13"/>
  <c r="AD6" i="13"/>
  <c r="AC6" i="13"/>
  <c r="AB6" i="13"/>
  <c r="AA6" i="13"/>
  <c r="AD5" i="13"/>
  <c r="AC5" i="13"/>
  <c r="AB5" i="13"/>
  <c r="AA5" i="13"/>
  <c r="AD4" i="13"/>
  <c r="AC4" i="13"/>
  <c r="AB4" i="13"/>
  <c r="AA4" i="13"/>
  <c r="AD3" i="13"/>
  <c r="AC3" i="13"/>
  <c r="AB3" i="13"/>
  <c r="AA3" i="13"/>
  <c r="Z7" i="13"/>
  <c r="Y7" i="13"/>
  <c r="X7" i="13"/>
  <c r="W7" i="13"/>
  <c r="Z6" i="13"/>
  <c r="Y6" i="13"/>
  <c r="X6" i="13"/>
  <c r="W6" i="13"/>
  <c r="Z5" i="13"/>
  <c r="Y5" i="13"/>
  <c r="X5" i="13"/>
  <c r="W5" i="13"/>
  <c r="Z4" i="13"/>
  <c r="Y4" i="13"/>
  <c r="X4" i="13"/>
  <c r="W4" i="13"/>
  <c r="Z3" i="13"/>
  <c r="Y3" i="13"/>
  <c r="X3" i="13"/>
  <c r="W3" i="13"/>
  <c r="K41" i="13"/>
  <c r="J41" i="13"/>
  <c r="I41" i="13"/>
  <c r="H41" i="13"/>
  <c r="G41" i="13"/>
  <c r="F41" i="13"/>
  <c r="E23" i="13"/>
  <c r="D23" i="13"/>
  <c r="E22" i="13"/>
  <c r="D22" i="13"/>
  <c r="E21" i="13"/>
  <c r="D21" i="13"/>
  <c r="E20" i="13"/>
  <c r="D20" i="13"/>
  <c r="E19" i="13"/>
  <c r="D19" i="13"/>
  <c r="E17" i="13"/>
  <c r="D17" i="13"/>
  <c r="E16" i="13"/>
  <c r="D16" i="13"/>
  <c r="E15" i="13"/>
  <c r="D15" i="13"/>
  <c r="E14" i="13"/>
  <c r="D14" i="13"/>
  <c r="C9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C7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C5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C3" i="13"/>
  <c r="A2" i="13"/>
  <c r="D1" i="13"/>
  <c r="C1" i="13"/>
  <c r="B1" i="13"/>
  <c r="K41" i="12"/>
  <c r="J41" i="12"/>
  <c r="I41" i="12"/>
  <c r="H41" i="12"/>
  <c r="G41" i="12"/>
  <c r="F41" i="12"/>
  <c r="E23" i="12"/>
  <c r="D23" i="12"/>
  <c r="E22" i="12"/>
  <c r="D22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E21" i="12"/>
  <c r="D21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E20" i="12"/>
  <c r="D20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E19" i="12"/>
  <c r="D19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E17" i="12"/>
  <c r="D17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E16" i="12"/>
  <c r="D16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E15" i="12"/>
  <c r="D15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E14" i="12"/>
  <c r="D14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C9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C7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C5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C3" i="12"/>
  <c r="A2" i="12"/>
  <c r="D1" i="12"/>
  <c r="C1" i="12"/>
  <c r="B1" i="12"/>
  <c r="E23" i="4"/>
  <c r="E21" i="4"/>
  <c r="E20" i="4"/>
  <c r="E19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W3" i="4"/>
  <c r="K41" i="6"/>
  <c r="J41" i="6"/>
  <c r="I41" i="6"/>
  <c r="H41" i="6"/>
  <c r="G41" i="6"/>
  <c r="F41" i="6"/>
  <c r="E23" i="6"/>
  <c r="D23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E22" i="6"/>
  <c r="D22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E21" i="6"/>
  <c r="D21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E20" i="6"/>
  <c r="D20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E19" i="6"/>
  <c r="D19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E17" i="6"/>
  <c r="D17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E16" i="6"/>
  <c r="D16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E15" i="6"/>
  <c r="D15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E14" i="6"/>
  <c r="D14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C9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C7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C5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C3" i="6"/>
  <c r="A2" i="6"/>
  <c r="D1" i="6"/>
  <c r="C1" i="6"/>
  <c r="B1" i="6"/>
  <c r="D23" i="4"/>
  <c r="D21" i="4"/>
  <c r="D20" i="4"/>
  <c r="D19" i="4"/>
  <c r="E16" i="4"/>
  <c r="E15" i="4"/>
  <c r="E14" i="4"/>
  <c r="D17" i="4"/>
  <c r="D16" i="4"/>
  <c r="D15" i="4"/>
  <c r="D14" i="4"/>
  <c r="D22" i="4"/>
  <c r="E22" i="4"/>
  <c r="E17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G3" i="4"/>
  <c r="F41" i="4" l="1"/>
  <c r="G41" i="4"/>
  <c r="H41" i="4"/>
  <c r="I41" i="4"/>
  <c r="J41" i="4"/>
  <c r="K41" i="4"/>
  <c r="C9" i="4"/>
  <c r="C7" i="4"/>
  <c r="C5" i="4"/>
  <c r="C3" i="4"/>
  <c r="A2" i="4"/>
  <c r="D1" i="4"/>
  <c r="C1" i="4"/>
  <c r="B1" i="4"/>
  <c r="T1" i="1" l="1"/>
  <c r="A2" i="1"/>
  <c r="K1" i="1" l="1"/>
  <c r="K18" i="1" s="1"/>
  <c r="O1" i="1"/>
  <c r="S1" i="1"/>
  <c r="D1" i="1"/>
  <c r="N1" i="1"/>
  <c r="N21" i="1" s="1"/>
  <c r="R1" i="1"/>
  <c r="V1" i="1"/>
  <c r="M1" i="1"/>
  <c r="Q1" i="1"/>
  <c r="Q4" i="1" s="1"/>
  <c r="U1" i="1"/>
  <c r="U21" i="1" s="1"/>
  <c r="B1" i="1"/>
  <c r="L1" i="1"/>
  <c r="L22" i="1" s="1"/>
  <c r="P1" i="1"/>
  <c r="P13" i="1" s="1"/>
  <c r="C1" i="1"/>
  <c r="G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J3" i="1"/>
  <c r="R3" i="1"/>
  <c r="H7" i="1"/>
  <c r="H8" i="1"/>
  <c r="H9" i="1"/>
  <c r="H10" i="1"/>
  <c r="H11" i="1"/>
  <c r="H12" i="1"/>
  <c r="H13" i="1"/>
  <c r="H14" i="1"/>
  <c r="H15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U3" i="1"/>
  <c r="U8" i="1"/>
  <c r="U11" i="1"/>
  <c r="U13" i="1"/>
  <c r="U16" i="1"/>
  <c r="U19" i="1"/>
  <c r="H6" i="1"/>
  <c r="P11" i="1"/>
  <c r="H22" i="1"/>
  <c r="H20" i="1"/>
  <c r="H18" i="1"/>
  <c r="H16" i="1"/>
  <c r="I3" i="1"/>
  <c r="H21" i="1"/>
  <c r="H19" i="1"/>
  <c r="H17" i="1"/>
  <c r="Q3" i="1"/>
  <c r="H5" i="1"/>
  <c r="T4" i="1"/>
  <c r="H4" i="1"/>
  <c r="G3" i="1"/>
  <c r="O3" i="1"/>
  <c r="V22" i="1"/>
  <c r="J22" i="1"/>
  <c r="J21" i="1"/>
  <c r="N20" i="1"/>
  <c r="J20" i="1"/>
  <c r="J19" i="1"/>
  <c r="V18" i="1"/>
  <c r="J18" i="1"/>
  <c r="J17" i="1"/>
  <c r="N16" i="1"/>
  <c r="J16" i="1"/>
  <c r="J15" i="1"/>
  <c r="V14" i="1"/>
  <c r="J14" i="1"/>
  <c r="J13" i="1"/>
  <c r="N12" i="1"/>
  <c r="J12" i="1"/>
  <c r="J11" i="1"/>
  <c r="V10" i="1"/>
  <c r="J10" i="1"/>
  <c r="J9" i="1"/>
  <c r="N8" i="1"/>
  <c r="J8" i="1"/>
  <c r="J7" i="1"/>
  <c r="V6" i="1"/>
  <c r="J6" i="1"/>
  <c r="J5" i="1"/>
  <c r="N4" i="1"/>
  <c r="J4" i="1"/>
  <c r="T3" i="1"/>
  <c r="H3" i="1"/>
  <c r="K22" i="1"/>
  <c r="G22" i="1"/>
  <c r="S21" i="1"/>
  <c r="G21" i="1"/>
  <c r="G20" i="1"/>
  <c r="G19" i="1"/>
  <c r="G18" i="1"/>
  <c r="S17" i="1"/>
  <c r="G17" i="1"/>
  <c r="G16" i="1"/>
  <c r="G15" i="1"/>
  <c r="K14" i="1"/>
  <c r="G14" i="1"/>
  <c r="S13" i="1"/>
  <c r="G13" i="1"/>
  <c r="G12" i="1"/>
  <c r="G11" i="1"/>
  <c r="G10" i="1"/>
  <c r="S9" i="1"/>
  <c r="G9" i="1"/>
  <c r="G8" i="1"/>
  <c r="G7" i="1"/>
  <c r="K6" i="1"/>
  <c r="G6" i="1"/>
  <c r="S5" i="1"/>
  <c r="G5" i="1"/>
  <c r="C5" i="1"/>
  <c r="C7" i="1"/>
  <c r="C9" i="1"/>
  <c r="C3" i="1"/>
  <c r="U5" i="1" l="1"/>
  <c r="L6" i="1"/>
  <c r="P18" i="1"/>
  <c r="P9" i="1"/>
  <c r="K10" i="1"/>
  <c r="N5" i="1"/>
  <c r="N7" i="1"/>
  <c r="N9" i="1"/>
  <c r="N11" i="1"/>
  <c r="N13" i="1"/>
  <c r="N15" i="1"/>
  <c r="N17" i="1"/>
  <c r="N19" i="1"/>
  <c r="P15" i="1"/>
  <c r="P22" i="1"/>
  <c r="P7" i="1"/>
  <c r="P19" i="1"/>
  <c r="K4" i="1"/>
  <c r="K5" i="1"/>
  <c r="S6" i="1"/>
  <c r="K7" i="1"/>
  <c r="K8" i="1"/>
  <c r="K9" i="1"/>
  <c r="S10" i="1"/>
  <c r="K11" i="1"/>
  <c r="K12" i="1"/>
  <c r="K13" i="1"/>
  <c r="S14" i="1"/>
  <c r="K15" i="1"/>
  <c r="K16" i="1"/>
  <c r="K17" i="1"/>
  <c r="S18" i="1"/>
  <c r="K19" i="1"/>
  <c r="K20" i="1"/>
  <c r="K21" i="1"/>
  <c r="S22" i="1"/>
  <c r="P3" i="1"/>
  <c r="V5" i="1"/>
  <c r="N6" i="1"/>
  <c r="V9" i="1"/>
  <c r="N10" i="1"/>
  <c r="V13" i="1"/>
  <c r="N14" i="1"/>
  <c r="V17" i="1"/>
  <c r="N18" i="1"/>
  <c r="V21" i="1"/>
  <c r="N22" i="1"/>
  <c r="K3" i="1"/>
  <c r="P4" i="1"/>
  <c r="P17" i="1"/>
  <c r="P21" i="1"/>
  <c r="P16" i="1"/>
  <c r="P20" i="1"/>
  <c r="P14" i="1"/>
  <c r="P12" i="1"/>
  <c r="P10" i="1"/>
  <c r="P8" i="1"/>
  <c r="P6" i="1"/>
  <c r="N3" i="1"/>
  <c r="P5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V3" i="1"/>
  <c r="S3" i="1"/>
  <c r="L5" i="1"/>
  <c r="U22" i="1"/>
  <c r="M4" i="1"/>
  <c r="R22" i="1"/>
  <c r="O22" i="1"/>
  <c r="U17" i="1"/>
  <c r="U15" i="1"/>
  <c r="U12" i="1"/>
  <c r="U9" i="1"/>
  <c r="U7" i="1"/>
  <c r="L14" i="1"/>
  <c r="U20" i="1"/>
  <c r="M21" i="1"/>
  <c r="L16" i="1"/>
  <c r="L8" i="1"/>
  <c r="S4" i="1"/>
  <c r="S8" i="1"/>
  <c r="S12" i="1"/>
  <c r="S16" i="1"/>
  <c r="S20" i="1"/>
  <c r="V4" i="1"/>
  <c r="V8" i="1"/>
  <c r="V12" i="1"/>
  <c r="V16" i="1"/>
  <c r="V20" i="1"/>
  <c r="L18" i="1"/>
  <c r="L10" i="1"/>
  <c r="S7" i="1"/>
  <c r="S11" i="1"/>
  <c r="S15" i="1"/>
  <c r="S19" i="1"/>
  <c r="V7" i="1"/>
  <c r="V11" i="1"/>
  <c r="V15" i="1"/>
  <c r="V19" i="1"/>
  <c r="U4" i="1"/>
  <c r="U18" i="1"/>
  <c r="U14" i="1"/>
  <c r="U10" i="1"/>
  <c r="U6" i="1"/>
  <c r="L20" i="1"/>
  <c r="L12" i="1"/>
  <c r="M20" i="1"/>
  <c r="M18" i="1"/>
  <c r="M16" i="1"/>
  <c r="M14" i="1"/>
  <c r="M12" i="1"/>
  <c r="M10" i="1"/>
  <c r="M8" i="1"/>
  <c r="M6" i="1"/>
  <c r="L3" i="1"/>
  <c r="L4" i="1"/>
  <c r="M3" i="1"/>
  <c r="L21" i="1"/>
  <c r="L19" i="1"/>
  <c r="L17" i="1"/>
  <c r="L15" i="1"/>
  <c r="L13" i="1"/>
  <c r="L11" i="1"/>
  <c r="L9" i="1"/>
  <c r="L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M22" i="1"/>
  <c r="M19" i="1"/>
  <c r="M17" i="1"/>
  <c r="M15" i="1"/>
  <c r="M13" i="1"/>
  <c r="M11" i="1"/>
  <c r="M9" i="1"/>
  <c r="M7" i="1"/>
  <c r="M5" i="1"/>
</calcChain>
</file>

<file path=xl/sharedStrings.xml><?xml version="1.0" encoding="utf-8"?>
<sst xmlns="http://schemas.openxmlformats.org/spreadsheetml/2006/main" count="1923" uniqueCount="36">
  <si>
    <t>Pout</t>
  </si>
  <si>
    <t>pout</t>
  </si>
  <si>
    <t>vin</t>
  </si>
  <si>
    <t>vlcata</t>
  </si>
  <si>
    <t>severka</t>
  </si>
  <si>
    <t>phoenix</t>
  </si>
  <si>
    <t>ZS</t>
  </si>
  <si>
    <t>brabrouci</t>
  </si>
  <si>
    <t>lorien</t>
  </si>
  <si>
    <t>stezka</t>
  </si>
  <si>
    <t>nibowaka</t>
  </si>
  <si>
    <t>32 severka</t>
  </si>
  <si>
    <t>tulak</t>
  </si>
  <si>
    <t>pegas</t>
  </si>
  <si>
    <t>kamzici</t>
  </si>
  <si>
    <t>iktomi</t>
  </si>
  <si>
    <t>vlci</t>
  </si>
  <si>
    <t>10. PTO Severka</t>
  </si>
  <si>
    <t>111. PTO Vinohrady</t>
  </si>
  <si>
    <t>176. PTO Vlčata</t>
  </si>
  <si>
    <t>2. PTO Poutníci</t>
  </si>
  <si>
    <t>21. PTO Hády</t>
  </si>
  <si>
    <t>26. PTO Kulturní historie</t>
  </si>
  <si>
    <t>32. PTO Severka</t>
  </si>
  <si>
    <t>34. PTO Tulák</t>
  </si>
  <si>
    <t>48. PTO Stezka</t>
  </si>
  <si>
    <t>6. PTO Nibowaka</t>
  </si>
  <si>
    <t>63. PTO Phoenix</t>
  </si>
  <si>
    <t>64.PTO Lorien</t>
  </si>
  <si>
    <t>66. PTO Brabrouci Modřice</t>
  </si>
  <si>
    <t>1. partie</t>
  </si>
  <si>
    <t>2. partie</t>
  </si>
  <si>
    <t>3. partie</t>
  </si>
  <si>
    <t>4. partie</t>
  </si>
  <si>
    <t>2. hra</t>
  </si>
  <si>
    <t>1. 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</si>
</sst>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0" xfId="0" applyFont="1" applyAlignment="1">
      <alignment horizontal="right" wrapText="1"/>
    </xf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2" fillId="4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2" fillId="10" borderId="0" xfId="0" applyFont="1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2" fillId="12" borderId="0" xfId="0" applyFont="1" applyFill="1"/>
    <xf numFmtId="0" fontId="0" fillId="13" borderId="0" xfId="0" applyFill="1"/>
    <xf numFmtId="0" fontId="2" fillId="13" borderId="0" xfId="0" applyFont="1" applyFill="1"/>
    <xf numFmtId="0" fontId="0" fillId="14" borderId="0" xfId="0" applyFill="1"/>
    <xf numFmtId="0" fontId="2" fillId="14" borderId="0" xfId="0" applyFont="1" applyFill="1"/>
    <xf numFmtId="0" fontId="0" fillId="15" borderId="0" xfId="0" applyFill="1"/>
    <xf numFmtId="0" fontId="2" fillId="15" borderId="0" xfId="0" applyFont="1" applyFill="1"/>
    <xf numFmtId="0" fontId="2" fillId="2" borderId="0" xfId="0" applyFont="1" applyFill="1"/>
    <xf numFmtId="0" fontId="1" fillId="0" borderId="12" xfId="0" applyFont="1" applyBorder="1"/>
    <xf numFmtId="0" fontId="0" fillId="0" borderId="12" xfId="0" applyBorder="1"/>
    <xf numFmtId="0" fontId="1" fillId="0" borderId="18" xfId="0" applyFont="1" applyBorder="1"/>
    <xf numFmtId="0" fontId="1" fillId="0" borderId="13" xfId="0" applyFont="1" applyBorder="1"/>
    <xf numFmtId="0" fontId="1" fillId="0" borderId="15" xfId="0" applyFont="1" applyBorder="1"/>
    <xf numFmtId="0" fontId="0" fillId="0" borderId="16" xfId="0" applyBorder="1"/>
    <xf numFmtId="0" fontId="0" fillId="0" borderId="13" xfId="0" applyBorder="1"/>
    <xf numFmtId="0" fontId="0" fillId="0" borderId="15" xfId="0" applyBorder="1"/>
    <xf numFmtId="0" fontId="1" fillId="0" borderId="16" xfId="0" applyFont="1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7" borderId="19" xfId="0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4" xfId="0" applyFont="1" applyBorder="1"/>
    <xf numFmtId="0" fontId="1" fillId="0" borderId="17" xfId="0" applyFont="1" applyBorder="1"/>
    <xf numFmtId="0" fontId="1" fillId="0" borderId="25" xfId="0" applyFont="1" applyBorder="1"/>
    <xf numFmtId="0" fontId="1" fillId="0" borderId="26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4" xfId="0" applyBorder="1"/>
    <xf numFmtId="0" fontId="0" fillId="0" borderId="17" xfId="0" applyBorder="1"/>
    <xf numFmtId="0" fontId="0" fillId="18" borderId="13" xfId="0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1" fillId="17" borderId="19" xfId="0" applyFont="1" applyFill="1" applyBorder="1" applyAlignment="1">
      <alignment horizontal="center"/>
    </xf>
    <xf numFmtId="0" fontId="1" fillId="16" borderId="13" xfId="0" applyFont="1" applyFill="1" applyBorder="1" applyAlignment="1">
      <alignment horizontal="center"/>
    </xf>
    <xf numFmtId="0" fontId="1" fillId="17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17" borderId="20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7" borderId="12" xfId="0" applyFont="1" applyFill="1" applyBorder="1" applyAlignment="1">
      <alignment horizontal="center"/>
    </xf>
    <xf numFmtId="0" fontId="1" fillId="18" borderId="16" xfId="0" applyFont="1" applyFill="1" applyBorder="1" applyAlignment="1">
      <alignment horizontal="center"/>
    </xf>
    <xf numFmtId="0" fontId="1" fillId="17" borderId="21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1" fillId="16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18" borderId="14" xfId="0" applyFont="1" applyFill="1" applyBorder="1" applyAlignment="1">
      <alignment horizontal="center"/>
    </xf>
    <xf numFmtId="0" fontId="1" fillId="18" borderId="17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1" fillId="18" borderId="15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18" borderId="22" xfId="0" applyFont="1" applyFill="1" applyBorder="1" applyAlignment="1">
      <alignment horizontal="center"/>
    </xf>
    <xf numFmtId="0" fontId="1" fillId="18" borderId="23" xfId="0" applyFont="1" applyFill="1" applyBorder="1" applyAlignment="1">
      <alignment horizontal="center"/>
    </xf>
    <xf numFmtId="0" fontId="1" fillId="18" borderId="2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ální" xfId="0" builtinId="0"/>
  </cellStyles>
  <dxfs count="254"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1" tint="0.3499862666707357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1" tint="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3"/>
  <sheetViews>
    <sheetView topLeftCell="A9" zoomScaleNormal="100" zoomScalePageLayoutView="40" workbookViewId="0">
      <selection activeCell="O29" sqref="O29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14</v>
      </c>
      <c r="C4" s="58">
        <v>27</v>
      </c>
      <c r="D4" s="59">
        <v>40</v>
      </c>
      <c r="E4" s="57">
        <v>1</v>
      </c>
      <c r="F4" s="58">
        <v>25</v>
      </c>
      <c r="G4" s="86">
        <v>36</v>
      </c>
      <c r="H4" s="59">
        <v>47</v>
      </c>
      <c r="I4" s="57">
        <v>1</v>
      </c>
      <c r="J4" s="58">
        <v>23</v>
      </c>
      <c r="K4" s="58">
        <v>32</v>
      </c>
      <c r="L4" s="90">
        <v>41</v>
      </c>
      <c r="M4" s="57">
        <v>1</v>
      </c>
      <c r="N4" s="86">
        <v>21</v>
      </c>
      <c r="O4" s="58">
        <v>28</v>
      </c>
      <c r="P4" s="59">
        <v>48</v>
      </c>
    </row>
    <row r="5" spans="1:16" x14ac:dyDescent="0.35">
      <c r="A5" s="82">
        <v>2</v>
      </c>
      <c r="B5" s="55">
        <v>15</v>
      </c>
      <c r="C5" s="55">
        <v>28</v>
      </c>
      <c r="D5" s="56">
        <v>41</v>
      </c>
      <c r="E5" s="75">
        <v>2</v>
      </c>
      <c r="F5" s="76">
        <v>26</v>
      </c>
      <c r="G5" s="87">
        <v>37</v>
      </c>
      <c r="H5" s="77">
        <v>48</v>
      </c>
      <c r="I5" s="49">
        <v>2</v>
      </c>
      <c r="J5" s="50">
        <v>24</v>
      </c>
      <c r="K5" s="50">
        <v>33</v>
      </c>
      <c r="L5" s="91">
        <v>42</v>
      </c>
      <c r="M5" s="75">
        <v>2</v>
      </c>
      <c r="N5" s="87">
        <v>22</v>
      </c>
      <c r="O5" s="76">
        <v>29</v>
      </c>
      <c r="P5" s="77">
        <v>49</v>
      </c>
    </row>
    <row r="6" spans="1:16" x14ac:dyDescent="0.35">
      <c r="A6" s="83">
        <v>3</v>
      </c>
      <c r="B6" s="61">
        <v>16</v>
      </c>
      <c r="C6" s="61">
        <v>29</v>
      </c>
      <c r="D6" s="62">
        <v>42</v>
      </c>
      <c r="E6" s="60">
        <v>3</v>
      </c>
      <c r="F6" s="61">
        <v>14</v>
      </c>
      <c r="G6" s="88">
        <v>38</v>
      </c>
      <c r="H6" s="62">
        <v>49</v>
      </c>
      <c r="I6" s="60">
        <v>3</v>
      </c>
      <c r="J6" s="61">
        <v>25</v>
      </c>
      <c r="K6" s="61">
        <v>34</v>
      </c>
      <c r="L6" s="92">
        <v>43</v>
      </c>
      <c r="M6" s="60">
        <v>3</v>
      </c>
      <c r="N6" s="88">
        <v>23</v>
      </c>
      <c r="O6" s="61">
        <v>30</v>
      </c>
      <c r="P6" s="62">
        <v>50</v>
      </c>
    </row>
    <row r="7" spans="1:16" x14ac:dyDescent="0.35">
      <c r="A7" s="82">
        <v>4</v>
      </c>
      <c r="B7" s="55">
        <v>17</v>
      </c>
      <c r="C7" s="55">
        <v>30</v>
      </c>
      <c r="D7" s="56">
        <v>43</v>
      </c>
      <c r="E7" s="75">
        <v>4</v>
      </c>
      <c r="F7" s="76">
        <v>15</v>
      </c>
      <c r="G7" s="87">
        <v>39</v>
      </c>
      <c r="H7" s="77">
        <v>50</v>
      </c>
      <c r="I7" s="49">
        <v>4</v>
      </c>
      <c r="J7" s="50">
        <v>26</v>
      </c>
      <c r="K7" s="50">
        <v>35</v>
      </c>
      <c r="L7" s="91">
        <v>44</v>
      </c>
      <c r="M7" s="75">
        <v>4</v>
      </c>
      <c r="N7" s="87">
        <v>24</v>
      </c>
      <c r="O7" s="76">
        <v>31</v>
      </c>
      <c r="P7" s="77">
        <v>51</v>
      </c>
    </row>
    <row r="8" spans="1:16" x14ac:dyDescent="0.35">
      <c r="A8" s="83">
        <v>5</v>
      </c>
      <c r="B8" s="61">
        <v>18</v>
      </c>
      <c r="C8" s="61">
        <v>31</v>
      </c>
      <c r="D8" s="62">
        <v>44</v>
      </c>
      <c r="E8" s="60">
        <v>5</v>
      </c>
      <c r="F8" s="61">
        <v>16</v>
      </c>
      <c r="G8" s="88">
        <v>27</v>
      </c>
      <c r="H8" s="62">
        <v>51</v>
      </c>
      <c r="I8" s="60">
        <v>5</v>
      </c>
      <c r="J8" s="61">
        <v>14</v>
      </c>
      <c r="K8" s="61">
        <v>36</v>
      </c>
      <c r="L8" s="92">
        <v>45</v>
      </c>
      <c r="M8" s="60">
        <v>5</v>
      </c>
      <c r="N8" s="88">
        <v>25</v>
      </c>
      <c r="O8" s="61">
        <v>32</v>
      </c>
      <c r="P8" s="62">
        <v>52</v>
      </c>
    </row>
    <row r="9" spans="1:16" x14ac:dyDescent="0.35">
      <c r="A9" s="82">
        <v>6</v>
      </c>
      <c r="B9" s="55">
        <v>19</v>
      </c>
      <c r="C9" s="55">
        <v>32</v>
      </c>
      <c r="D9" s="56">
        <v>45</v>
      </c>
      <c r="E9" s="75">
        <v>6</v>
      </c>
      <c r="F9" s="76">
        <v>17</v>
      </c>
      <c r="G9" s="87">
        <v>28</v>
      </c>
      <c r="H9" s="77">
        <v>52</v>
      </c>
      <c r="I9" s="49">
        <v>6</v>
      </c>
      <c r="J9" s="50">
        <v>15</v>
      </c>
      <c r="K9" s="50">
        <v>37</v>
      </c>
      <c r="L9" s="91">
        <v>46</v>
      </c>
      <c r="M9" s="75">
        <v>6</v>
      </c>
      <c r="N9" s="87">
        <v>26</v>
      </c>
      <c r="O9" s="76">
        <v>33</v>
      </c>
      <c r="P9" s="77">
        <v>40</v>
      </c>
    </row>
    <row r="10" spans="1:16" x14ac:dyDescent="0.35">
      <c r="A10" s="83">
        <v>7</v>
      </c>
      <c r="B10" s="61">
        <v>20</v>
      </c>
      <c r="C10" s="61">
        <v>33</v>
      </c>
      <c r="D10" s="62">
        <v>46</v>
      </c>
      <c r="E10" s="60">
        <v>7</v>
      </c>
      <c r="F10" s="61">
        <v>18</v>
      </c>
      <c r="G10" s="88">
        <v>29</v>
      </c>
      <c r="H10" s="62">
        <v>40</v>
      </c>
      <c r="I10" s="60">
        <v>7</v>
      </c>
      <c r="J10" s="61">
        <v>16</v>
      </c>
      <c r="K10" s="61">
        <v>38</v>
      </c>
      <c r="L10" s="92">
        <v>47</v>
      </c>
      <c r="M10" s="60">
        <v>7</v>
      </c>
      <c r="N10" s="88">
        <v>14</v>
      </c>
      <c r="O10" s="61">
        <v>34</v>
      </c>
      <c r="P10" s="62">
        <v>41</v>
      </c>
    </row>
    <row r="11" spans="1:16" x14ac:dyDescent="0.35">
      <c r="A11" s="84">
        <v>8</v>
      </c>
      <c r="B11" s="50">
        <v>21</v>
      </c>
      <c r="C11" s="50">
        <v>34</v>
      </c>
      <c r="D11" s="51">
        <v>47</v>
      </c>
      <c r="E11" s="75">
        <v>8</v>
      </c>
      <c r="F11" s="76">
        <v>19</v>
      </c>
      <c r="G11" s="87">
        <v>30</v>
      </c>
      <c r="H11" s="77">
        <v>41</v>
      </c>
      <c r="I11" s="49">
        <v>8</v>
      </c>
      <c r="J11" s="50">
        <v>17</v>
      </c>
      <c r="K11" s="50">
        <v>39</v>
      </c>
      <c r="L11" s="91">
        <v>48</v>
      </c>
      <c r="M11" s="75">
        <v>8</v>
      </c>
      <c r="N11" s="87">
        <v>15</v>
      </c>
      <c r="O11" s="76">
        <v>35</v>
      </c>
      <c r="P11" s="77">
        <v>42</v>
      </c>
    </row>
    <row r="12" spans="1:16" x14ac:dyDescent="0.35">
      <c r="A12" s="83">
        <v>9</v>
      </c>
      <c r="B12" s="61">
        <v>22</v>
      </c>
      <c r="C12" s="61">
        <v>35</v>
      </c>
      <c r="D12" s="62">
        <v>48</v>
      </c>
      <c r="E12" s="60">
        <v>9</v>
      </c>
      <c r="F12" s="61">
        <v>20</v>
      </c>
      <c r="G12" s="88">
        <v>31</v>
      </c>
      <c r="H12" s="62">
        <v>42</v>
      </c>
      <c r="I12" s="60">
        <v>9</v>
      </c>
      <c r="J12" s="61">
        <v>18</v>
      </c>
      <c r="K12" s="61">
        <v>27</v>
      </c>
      <c r="L12" s="92">
        <v>49</v>
      </c>
      <c r="M12" s="60">
        <v>9</v>
      </c>
      <c r="N12" s="88">
        <v>16</v>
      </c>
      <c r="O12" s="61">
        <v>36</v>
      </c>
      <c r="P12" s="62">
        <v>43</v>
      </c>
    </row>
    <row r="13" spans="1:16" x14ac:dyDescent="0.35">
      <c r="A13" s="84">
        <v>10</v>
      </c>
      <c r="B13" s="50">
        <v>23</v>
      </c>
      <c r="C13" s="50">
        <v>36</v>
      </c>
      <c r="D13" s="51">
        <v>49</v>
      </c>
      <c r="E13" s="75">
        <v>10</v>
      </c>
      <c r="F13" s="76">
        <v>21</v>
      </c>
      <c r="G13" s="87">
        <v>32</v>
      </c>
      <c r="H13" s="77">
        <v>43</v>
      </c>
      <c r="I13" s="49">
        <v>10</v>
      </c>
      <c r="J13" s="50">
        <v>19</v>
      </c>
      <c r="K13" s="50">
        <v>28</v>
      </c>
      <c r="L13" s="91">
        <v>50</v>
      </c>
      <c r="M13" s="75">
        <v>10</v>
      </c>
      <c r="N13" s="87">
        <v>17</v>
      </c>
      <c r="O13" s="76">
        <v>37</v>
      </c>
      <c r="P13" s="77">
        <v>44</v>
      </c>
    </row>
    <row r="14" spans="1:16" x14ac:dyDescent="0.35">
      <c r="A14" s="83">
        <v>11</v>
      </c>
      <c r="B14" s="61">
        <v>24</v>
      </c>
      <c r="C14" s="61">
        <v>37</v>
      </c>
      <c r="D14" s="62">
        <v>50</v>
      </c>
      <c r="E14" s="60">
        <v>11</v>
      </c>
      <c r="F14" s="61">
        <v>22</v>
      </c>
      <c r="G14" s="88">
        <v>33</v>
      </c>
      <c r="H14" s="62">
        <v>44</v>
      </c>
      <c r="I14" s="60">
        <v>11</v>
      </c>
      <c r="J14" s="61">
        <v>20</v>
      </c>
      <c r="K14" s="61">
        <v>29</v>
      </c>
      <c r="L14" s="92">
        <v>51</v>
      </c>
      <c r="M14" s="60">
        <v>11</v>
      </c>
      <c r="N14" s="88">
        <v>18</v>
      </c>
      <c r="O14" s="61">
        <v>38</v>
      </c>
      <c r="P14" s="62">
        <v>45</v>
      </c>
    </row>
    <row r="15" spans="1:16" x14ac:dyDescent="0.35">
      <c r="A15" s="84">
        <v>12</v>
      </c>
      <c r="B15" s="50">
        <v>25</v>
      </c>
      <c r="C15" s="50">
        <v>38</v>
      </c>
      <c r="D15" s="51">
        <v>51</v>
      </c>
      <c r="E15" s="75">
        <v>12</v>
      </c>
      <c r="F15" s="76">
        <v>23</v>
      </c>
      <c r="G15" s="87">
        <v>34</v>
      </c>
      <c r="H15" s="77">
        <v>45</v>
      </c>
      <c r="I15" s="49">
        <v>12</v>
      </c>
      <c r="J15" s="50">
        <v>21</v>
      </c>
      <c r="K15" s="50">
        <v>30</v>
      </c>
      <c r="L15" s="91">
        <v>52</v>
      </c>
      <c r="M15" s="75">
        <v>12</v>
      </c>
      <c r="N15" s="87">
        <v>19</v>
      </c>
      <c r="O15" s="76">
        <v>39</v>
      </c>
      <c r="P15" s="77">
        <v>46</v>
      </c>
    </row>
    <row r="16" spans="1:16" x14ac:dyDescent="0.35">
      <c r="A16" s="83">
        <v>13</v>
      </c>
      <c r="B16" s="61">
        <v>26</v>
      </c>
      <c r="C16" s="61">
        <v>39</v>
      </c>
      <c r="D16" s="62">
        <v>52</v>
      </c>
      <c r="E16" s="60">
        <v>13</v>
      </c>
      <c r="F16" s="61">
        <v>24</v>
      </c>
      <c r="G16" s="88">
        <v>35</v>
      </c>
      <c r="H16" s="62">
        <v>46</v>
      </c>
      <c r="I16" s="60">
        <v>13</v>
      </c>
      <c r="J16" s="61">
        <v>22</v>
      </c>
      <c r="K16" s="61">
        <v>31</v>
      </c>
      <c r="L16" s="92">
        <v>40</v>
      </c>
      <c r="M16" s="60">
        <v>13</v>
      </c>
      <c r="N16" s="88">
        <v>20</v>
      </c>
      <c r="O16" s="61">
        <v>27</v>
      </c>
      <c r="P16" s="62">
        <v>47</v>
      </c>
    </row>
    <row r="17" spans="1:16" ht="15" thickBot="1" x14ac:dyDescent="0.4"/>
    <row r="18" spans="1:16" x14ac:dyDescent="0.35">
      <c r="A18" s="108" t="s">
        <v>34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</row>
    <row r="19" spans="1:16" ht="5.25" customHeight="1" thickBot="1" x14ac:dyDescent="0.4">
      <c r="A19" s="111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3"/>
    </row>
    <row r="20" spans="1:16" ht="15" thickBot="1" x14ac:dyDescent="0.4">
      <c r="A20" s="102" t="s">
        <v>30</v>
      </c>
      <c r="B20" s="103"/>
      <c r="C20" s="103"/>
      <c r="D20" s="104"/>
      <c r="E20" s="105" t="s">
        <v>31</v>
      </c>
      <c r="F20" s="106"/>
      <c r="G20" s="106"/>
      <c r="H20" s="107"/>
      <c r="I20" s="102" t="s">
        <v>32</v>
      </c>
      <c r="J20" s="103"/>
      <c r="K20" s="103"/>
      <c r="L20" s="104"/>
      <c r="M20" s="105" t="s">
        <v>33</v>
      </c>
      <c r="N20" s="106"/>
      <c r="O20" s="106"/>
      <c r="P20" s="107"/>
    </row>
    <row r="21" spans="1:16" x14ac:dyDescent="0.35">
      <c r="A21" s="57">
        <v>8</v>
      </c>
      <c r="B21" s="86">
        <v>33</v>
      </c>
      <c r="C21" s="58">
        <v>45</v>
      </c>
      <c r="D21" s="59">
        <v>5</v>
      </c>
      <c r="E21" s="57">
        <v>8</v>
      </c>
      <c r="F21" s="58">
        <v>31</v>
      </c>
      <c r="G21" s="58"/>
      <c r="H21" s="90">
        <v>51</v>
      </c>
      <c r="I21" s="57">
        <v>8</v>
      </c>
      <c r="J21" s="58">
        <v>29</v>
      </c>
      <c r="K21" s="86">
        <v>45</v>
      </c>
      <c r="L21" s="59">
        <v>6</v>
      </c>
      <c r="M21" s="81">
        <v>8</v>
      </c>
      <c r="N21" s="58">
        <v>27</v>
      </c>
      <c r="O21" s="58">
        <v>46</v>
      </c>
      <c r="P21" s="59">
        <v>52</v>
      </c>
    </row>
    <row r="22" spans="1:16" x14ac:dyDescent="0.35">
      <c r="A22" s="94">
        <v>9</v>
      </c>
      <c r="B22" s="95">
        <v>21</v>
      </c>
      <c r="C22" s="55">
        <v>46</v>
      </c>
      <c r="D22" s="56">
        <v>6</v>
      </c>
      <c r="E22" s="75">
        <v>9</v>
      </c>
      <c r="F22" s="76">
        <v>32</v>
      </c>
      <c r="G22" s="76">
        <v>42</v>
      </c>
      <c r="H22" s="98">
        <v>52</v>
      </c>
      <c r="I22" s="49">
        <v>9</v>
      </c>
      <c r="J22" s="50">
        <v>30</v>
      </c>
      <c r="K22" s="96">
        <v>46</v>
      </c>
      <c r="L22" s="51">
        <v>7</v>
      </c>
      <c r="M22" s="100">
        <v>9</v>
      </c>
      <c r="N22" s="76">
        <v>28</v>
      </c>
      <c r="O22" s="76">
        <v>34</v>
      </c>
      <c r="P22" s="77">
        <v>1</v>
      </c>
    </row>
    <row r="23" spans="1:16" x14ac:dyDescent="0.35">
      <c r="A23" s="60">
        <v>10</v>
      </c>
      <c r="B23" s="88">
        <v>22</v>
      </c>
      <c r="C23" s="61">
        <v>34</v>
      </c>
      <c r="D23" s="62">
        <v>7</v>
      </c>
      <c r="E23" s="60">
        <v>10</v>
      </c>
      <c r="F23" s="61">
        <v>33</v>
      </c>
      <c r="G23" s="61">
        <v>43</v>
      </c>
      <c r="H23" s="92">
        <v>1</v>
      </c>
      <c r="I23" s="60">
        <v>10</v>
      </c>
      <c r="J23" s="61">
        <v>31</v>
      </c>
      <c r="K23" s="88">
        <v>34</v>
      </c>
      <c r="L23" s="62">
        <v>47</v>
      </c>
      <c r="M23" s="83">
        <v>10</v>
      </c>
      <c r="N23" s="61">
        <v>29</v>
      </c>
      <c r="O23" s="61">
        <v>35</v>
      </c>
      <c r="P23" s="62">
        <v>2</v>
      </c>
    </row>
    <row r="24" spans="1:16" x14ac:dyDescent="0.35">
      <c r="A24" s="94">
        <v>11</v>
      </c>
      <c r="B24" s="95">
        <v>23</v>
      </c>
      <c r="C24" s="55">
        <v>35</v>
      </c>
      <c r="D24" s="56">
        <v>47</v>
      </c>
      <c r="E24" s="75">
        <v>11</v>
      </c>
      <c r="F24" s="76">
        <v>21</v>
      </c>
      <c r="G24" s="76">
        <v>44</v>
      </c>
      <c r="H24" s="98">
        <v>2</v>
      </c>
      <c r="I24" s="49">
        <v>11</v>
      </c>
      <c r="J24" s="50">
        <v>32</v>
      </c>
      <c r="K24" s="96">
        <v>35</v>
      </c>
      <c r="L24" s="51">
        <v>48</v>
      </c>
      <c r="M24" s="100">
        <v>11</v>
      </c>
      <c r="N24" s="76">
        <v>30</v>
      </c>
      <c r="O24" s="76">
        <v>36</v>
      </c>
      <c r="P24" s="77">
        <v>3</v>
      </c>
    </row>
    <row r="25" spans="1:16" x14ac:dyDescent="0.35">
      <c r="A25" s="60">
        <v>12</v>
      </c>
      <c r="B25" s="88">
        <v>24</v>
      </c>
      <c r="C25" s="61">
        <v>36</v>
      </c>
      <c r="D25" s="62">
        <v>48</v>
      </c>
      <c r="E25" s="60">
        <v>12</v>
      </c>
      <c r="F25" s="61">
        <v>22</v>
      </c>
      <c r="G25" s="61">
        <v>45</v>
      </c>
      <c r="H25" s="92">
        <v>3</v>
      </c>
      <c r="I25" s="60">
        <v>12</v>
      </c>
      <c r="J25" s="61">
        <v>33</v>
      </c>
      <c r="K25" s="88">
        <v>36</v>
      </c>
      <c r="L25" s="62">
        <v>49</v>
      </c>
      <c r="M25" s="83">
        <v>12</v>
      </c>
      <c r="N25" s="61">
        <v>31</v>
      </c>
      <c r="O25" s="61">
        <v>37</v>
      </c>
      <c r="P25" s="62">
        <v>4</v>
      </c>
    </row>
    <row r="26" spans="1:16" x14ac:dyDescent="0.35">
      <c r="A26" s="94">
        <v>13</v>
      </c>
      <c r="B26" s="95">
        <v>25</v>
      </c>
      <c r="C26" s="55">
        <v>37</v>
      </c>
      <c r="D26" s="56">
        <v>49</v>
      </c>
      <c r="E26" s="75">
        <v>13</v>
      </c>
      <c r="F26" s="76">
        <v>23</v>
      </c>
      <c r="G26" s="76">
        <v>46</v>
      </c>
      <c r="H26" s="98">
        <v>4</v>
      </c>
      <c r="I26" s="49">
        <v>13</v>
      </c>
      <c r="J26" s="50">
        <v>21</v>
      </c>
      <c r="K26" s="96">
        <v>37</v>
      </c>
      <c r="L26" s="51">
        <v>50</v>
      </c>
      <c r="M26" s="100">
        <v>13</v>
      </c>
      <c r="N26" s="76">
        <v>32</v>
      </c>
      <c r="O26" s="76">
        <v>38</v>
      </c>
      <c r="P26" s="77">
        <v>5</v>
      </c>
    </row>
    <row r="27" spans="1:16" x14ac:dyDescent="0.35">
      <c r="A27" s="60">
        <v>14</v>
      </c>
      <c r="B27" s="88">
        <v>26</v>
      </c>
      <c r="C27" s="61">
        <v>38</v>
      </c>
      <c r="D27" s="62">
        <v>50</v>
      </c>
      <c r="E27" s="60">
        <v>14</v>
      </c>
      <c r="F27" s="61">
        <v>24</v>
      </c>
      <c r="G27" s="61">
        <v>34</v>
      </c>
      <c r="H27" s="92">
        <v>5</v>
      </c>
      <c r="I27" s="60">
        <v>14</v>
      </c>
      <c r="J27" s="61">
        <v>22</v>
      </c>
      <c r="K27" s="88">
        <v>38</v>
      </c>
      <c r="L27" s="62">
        <v>51</v>
      </c>
      <c r="M27" s="83">
        <v>14</v>
      </c>
      <c r="N27" s="61">
        <v>33</v>
      </c>
      <c r="O27" s="61">
        <v>39</v>
      </c>
      <c r="P27" s="62">
        <v>6</v>
      </c>
    </row>
    <row r="28" spans="1:16" x14ac:dyDescent="0.35">
      <c r="A28" s="49">
        <v>15</v>
      </c>
      <c r="B28" s="96">
        <v>27</v>
      </c>
      <c r="C28" s="50">
        <v>39</v>
      </c>
      <c r="D28" s="51">
        <v>51</v>
      </c>
      <c r="E28" s="75">
        <v>15</v>
      </c>
      <c r="F28" s="76">
        <v>25</v>
      </c>
      <c r="G28" s="76">
        <v>35</v>
      </c>
      <c r="H28" s="98">
        <v>6</v>
      </c>
      <c r="I28" s="49">
        <v>15</v>
      </c>
      <c r="J28" s="50">
        <v>23</v>
      </c>
      <c r="K28" s="96">
        <v>39</v>
      </c>
      <c r="L28" s="51">
        <v>52</v>
      </c>
      <c r="M28" s="100">
        <v>15</v>
      </c>
      <c r="N28" s="76">
        <v>21</v>
      </c>
      <c r="O28" s="76">
        <v>40</v>
      </c>
      <c r="P28" s="77">
        <v>7</v>
      </c>
    </row>
    <row r="29" spans="1:16" x14ac:dyDescent="0.35">
      <c r="A29" s="60">
        <v>16</v>
      </c>
      <c r="B29" s="88">
        <v>28</v>
      </c>
      <c r="C29" s="61">
        <v>40</v>
      </c>
      <c r="D29" s="62">
        <v>52</v>
      </c>
      <c r="E29" s="60">
        <v>16</v>
      </c>
      <c r="F29" s="61">
        <v>26</v>
      </c>
      <c r="G29" s="61">
        <v>36</v>
      </c>
      <c r="H29" s="92">
        <v>7</v>
      </c>
      <c r="I29" s="60">
        <v>16</v>
      </c>
      <c r="J29" s="61">
        <v>24</v>
      </c>
      <c r="K29" s="88">
        <v>40</v>
      </c>
      <c r="L29" s="62">
        <v>1</v>
      </c>
      <c r="M29" s="83">
        <v>16</v>
      </c>
      <c r="N29" s="61">
        <v>22</v>
      </c>
      <c r="O29" s="61"/>
      <c r="P29" s="62">
        <v>47</v>
      </c>
    </row>
    <row r="30" spans="1:16" x14ac:dyDescent="0.35">
      <c r="A30" s="49">
        <v>17</v>
      </c>
      <c r="B30" s="96">
        <v>29</v>
      </c>
      <c r="C30" s="50"/>
      <c r="D30" s="51">
        <v>1</v>
      </c>
      <c r="E30" s="75">
        <v>17</v>
      </c>
      <c r="F30" s="76">
        <v>27</v>
      </c>
      <c r="G30" s="76">
        <v>37</v>
      </c>
      <c r="H30" s="98">
        <v>47</v>
      </c>
      <c r="I30" s="49">
        <v>17</v>
      </c>
      <c r="J30" s="50">
        <v>25</v>
      </c>
      <c r="K30" s="96"/>
      <c r="L30" s="51">
        <v>2</v>
      </c>
      <c r="M30" s="100">
        <v>17</v>
      </c>
      <c r="N30" s="76">
        <v>23</v>
      </c>
      <c r="O30" s="76">
        <v>42</v>
      </c>
      <c r="P30" s="77">
        <v>48</v>
      </c>
    </row>
    <row r="31" spans="1:16" x14ac:dyDescent="0.35">
      <c r="A31" s="60">
        <v>18</v>
      </c>
      <c r="B31" s="88">
        <v>30</v>
      </c>
      <c r="C31" s="61">
        <v>42</v>
      </c>
      <c r="D31" s="62">
        <v>2</v>
      </c>
      <c r="E31" s="60">
        <v>18</v>
      </c>
      <c r="F31" s="61">
        <v>28</v>
      </c>
      <c r="G31" s="61">
        <v>38</v>
      </c>
      <c r="H31" s="92">
        <v>48</v>
      </c>
      <c r="I31" s="60">
        <v>18</v>
      </c>
      <c r="J31" s="61">
        <v>26</v>
      </c>
      <c r="K31" s="88">
        <v>42</v>
      </c>
      <c r="L31" s="62">
        <v>3</v>
      </c>
      <c r="M31" s="83">
        <v>18</v>
      </c>
      <c r="N31" s="61">
        <v>24</v>
      </c>
      <c r="O31" s="61">
        <v>43</v>
      </c>
      <c r="P31" s="62">
        <v>49</v>
      </c>
    </row>
    <row r="32" spans="1:16" x14ac:dyDescent="0.35">
      <c r="A32" s="49">
        <v>19</v>
      </c>
      <c r="B32" s="96">
        <v>31</v>
      </c>
      <c r="C32" s="50">
        <v>43</v>
      </c>
      <c r="D32" s="51">
        <v>3</v>
      </c>
      <c r="E32" s="75">
        <v>19</v>
      </c>
      <c r="F32" s="76">
        <v>29</v>
      </c>
      <c r="G32" s="76">
        <v>39</v>
      </c>
      <c r="H32" s="98">
        <v>49</v>
      </c>
      <c r="I32" s="49">
        <v>19</v>
      </c>
      <c r="J32" s="50">
        <v>27</v>
      </c>
      <c r="K32" s="96">
        <v>43</v>
      </c>
      <c r="L32" s="51">
        <v>4</v>
      </c>
      <c r="M32" s="100">
        <v>19</v>
      </c>
      <c r="N32" s="76">
        <v>25</v>
      </c>
      <c r="O32" s="76">
        <v>44</v>
      </c>
      <c r="P32" s="77">
        <v>50</v>
      </c>
    </row>
    <row r="33" spans="1:16" x14ac:dyDescent="0.35">
      <c r="A33" s="60">
        <v>20</v>
      </c>
      <c r="B33" s="88">
        <v>32</v>
      </c>
      <c r="C33" s="61">
        <v>44</v>
      </c>
      <c r="D33" s="62">
        <v>4</v>
      </c>
      <c r="E33" s="60">
        <v>20</v>
      </c>
      <c r="F33" s="61">
        <v>30</v>
      </c>
      <c r="G33" s="61">
        <v>40</v>
      </c>
      <c r="H33" s="92">
        <v>50</v>
      </c>
      <c r="I33" s="60">
        <v>20</v>
      </c>
      <c r="J33" s="61">
        <v>28</v>
      </c>
      <c r="K33" s="88">
        <v>44</v>
      </c>
      <c r="L33" s="62">
        <v>5</v>
      </c>
      <c r="M33" s="83">
        <v>20</v>
      </c>
      <c r="N33" s="61">
        <v>26</v>
      </c>
      <c r="O33" s="61">
        <v>45</v>
      </c>
      <c r="P33" s="62">
        <v>51</v>
      </c>
    </row>
  </sheetData>
  <mergeCells count="10">
    <mergeCell ref="A20:D20"/>
    <mergeCell ref="E20:H20"/>
    <mergeCell ref="I20:L20"/>
    <mergeCell ref="M20:P20"/>
    <mergeCell ref="A1:P2"/>
    <mergeCell ref="A3:D3"/>
    <mergeCell ref="E3:H3"/>
    <mergeCell ref="I3:L3"/>
    <mergeCell ref="M3:P3"/>
    <mergeCell ref="A18:P19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5"/>
  <sheetViews>
    <sheetView topLeftCell="A2" zoomScaleNormal="100" zoomScalePageLayoutView="40" workbookViewId="0">
      <selection activeCell="M13" sqref="M13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10</v>
      </c>
      <c r="C4" s="58">
        <v>19</v>
      </c>
      <c r="D4" s="59">
        <v>28</v>
      </c>
      <c r="E4" s="57">
        <v>1</v>
      </c>
      <c r="F4" s="58">
        <v>17</v>
      </c>
      <c r="G4" s="86">
        <v>24</v>
      </c>
      <c r="H4" s="59">
        <v>31</v>
      </c>
      <c r="I4" s="57">
        <v>1</v>
      </c>
      <c r="J4" s="58">
        <v>15</v>
      </c>
      <c r="K4" s="58">
        <v>20</v>
      </c>
      <c r="L4" s="90">
        <v>34</v>
      </c>
      <c r="M4" s="57">
        <v>1</v>
      </c>
      <c r="N4" s="86">
        <v>16</v>
      </c>
      <c r="O4" s="58">
        <v>22</v>
      </c>
      <c r="P4" s="59">
        <v>28</v>
      </c>
    </row>
    <row r="5" spans="1:16" x14ac:dyDescent="0.35">
      <c r="A5" s="82">
        <v>2</v>
      </c>
      <c r="B5" s="55">
        <v>11</v>
      </c>
      <c r="C5" s="55">
        <v>20</v>
      </c>
      <c r="D5" s="56">
        <v>29</v>
      </c>
      <c r="E5" s="75">
        <v>2</v>
      </c>
      <c r="F5" s="76">
        <v>18</v>
      </c>
      <c r="G5" s="87">
        <v>25</v>
      </c>
      <c r="H5" s="77">
        <v>32</v>
      </c>
      <c r="I5" s="49">
        <v>2</v>
      </c>
      <c r="J5" s="50">
        <v>16</v>
      </c>
      <c r="K5" s="50">
        <v>21</v>
      </c>
      <c r="L5" s="91">
        <v>35</v>
      </c>
      <c r="M5" s="75">
        <v>2</v>
      </c>
      <c r="N5" s="87">
        <v>17</v>
      </c>
      <c r="O5" s="76">
        <v>23</v>
      </c>
      <c r="P5" s="77">
        <v>29</v>
      </c>
    </row>
    <row r="6" spans="1:16" x14ac:dyDescent="0.35">
      <c r="A6" s="83">
        <v>3</v>
      </c>
      <c r="B6" s="61">
        <v>12</v>
      </c>
      <c r="C6" s="61">
        <v>21</v>
      </c>
      <c r="D6" s="62">
        <v>30</v>
      </c>
      <c r="E6" s="60">
        <v>3</v>
      </c>
      <c r="F6" s="61">
        <v>10</v>
      </c>
      <c r="G6" s="88">
        <v>26</v>
      </c>
      <c r="H6" s="62">
        <v>33</v>
      </c>
      <c r="I6" s="60">
        <v>3</v>
      </c>
      <c r="J6" s="61">
        <v>17</v>
      </c>
      <c r="K6" s="61">
        <v>22</v>
      </c>
      <c r="L6" s="92">
        <v>36</v>
      </c>
      <c r="M6" s="60">
        <v>3</v>
      </c>
      <c r="N6" s="88">
        <v>18</v>
      </c>
      <c r="O6" s="61">
        <v>24</v>
      </c>
      <c r="P6" s="62">
        <v>30</v>
      </c>
    </row>
    <row r="7" spans="1:16" x14ac:dyDescent="0.35">
      <c r="A7" s="82">
        <v>4</v>
      </c>
      <c r="B7" s="55">
        <v>13</v>
      </c>
      <c r="C7" s="55">
        <v>22</v>
      </c>
      <c r="D7" s="56">
        <v>31</v>
      </c>
      <c r="E7" s="75">
        <v>4</v>
      </c>
      <c r="F7" s="76">
        <v>11</v>
      </c>
      <c r="G7" s="87">
        <v>27</v>
      </c>
      <c r="H7" s="77">
        <v>34</v>
      </c>
      <c r="I7" s="49">
        <v>4</v>
      </c>
      <c r="J7" s="50">
        <v>18</v>
      </c>
      <c r="K7" s="50">
        <v>23</v>
      </c>
      <c r="L7" s="91">
        <v>28</v>
      </c>
      <c r="M7" s="75">
        <v>4</v>
      </c>
      <c r="N7" s="87">
        <v>10</v>
      </c>
      <c r="O7" s="76">
        <v>25</v>
      </c>
      <c r="P7" s="77">
        <v>31</v>
      </c>
    </row>
    <row r="8" spans="1:16" x14ac:dyDescent="0.35">
      <c r="A8" s="83">
        <v>5</v>
      </c>
      <c r="B8" s="61">
        <v>14</v>
      </c>
      <c r="C8" s="61">
        <v>23</v>
      </c>
      <c r="D8" s="62">
        <v>32</v>
      </c>
      <c r="E8" s="60">
        <v>5</v>
      </c>
      <c r="F8" s="61">
        <v>12</v>
      </c>
      <c r="G8" s="88">
        <v>19</v>
      </c>
      <c r="H8" s="62">
        <v>35</v>
      </c>
      <c r="I8" s="60">
        <v>5</v>
      </c>
      <c r="J8" s="61">
        <v>10</v>
      </c>
      <c r="K8" s="61">
        <v>24</v>
      </c>
      <c r="L8" s="92">
        <v>29</v>
      </c>
      <c r="M8" s="60">
        <v>5</v>
      </c>
      <c r="N8" s="88">
        <v>11</v>
      </c>
      <c r="O8" s="61">
        <v>26</v>
      </c>
      <c r="P8" s="62">
        <v>32</v>
      </c>
    </row>
    <row r="9" spans="1:16" x14ac:dyDescent="0.35">
      <c r="A9" s="82">
        <v>6</v>
      </c>
      <c r="B9" s="55">
        <v>15</v>
      </c>
      <c r="C9" s="55">
        <v>24</v>
      </c>
      <c r="D9" s="56">
        <v>33</v>
      </c>
      <c r="E9" s="75">
        <v>6</v>
      </c>
      <c r="F9" s="76">
        <v>13</v>
      </c>
      <c r="G9" s="87">
        <v>20</v>
      </c>
      <c r="H9" s="77">
        <v>36</v>
      </c>
      <c r="I9" s="49">
        <v>6</v>
      </c>
      <c r="J9" s="50">
        <v>11</v>
      </c>
      <c r="K9" s="50">
        <v>25</v>
      </c>
      <c r="L9" s="91">
        <v>30</v>
      </c>
      <c r="M9" s="75">
        <v>6</v>
      </c>
      <c r="N9" s="87">
        <v>12</v>
      </c>
      <c r="O9" s="76">
        <v>27</v>
      </c>
      <c r="P9" s="77">
        <v>33</v>
      </c>
    </row>
    <row r="10" spans="1:16" x14ac:dyDescent="0.35">
      <c r="A10" s="83">
        <v>7</v>
      </c>
      <c r="B10" s="61">
        <v>16</v>
      </c>
      <c r="C10" s="61">
        <v>25</v>
      </c>
      <c r="D10" s="62">
        <v>34</v>
      </c>
      <c r="E10" s="60">
        <v>7</v>
      </c>
      <c r="F10" s="61">
        <v>14</v>
      </c>
      <c r="G10" s="88">
        <v>21</v>
      </c>
      <c r="H10" s="62">
        <v>28</v>
      </c>
      <c r="I10" s="60">
        <v>7</v>
      </c>
      <c r="J10" s="61">
        <v>12</v>
      </c>
      <c r="K10" s="61">
        <v>26</v>
      </c>
      <c r="L10" s="92">
        <v>31</v>
      </c>
      <c r="M10" s="60">
        <v>7</v>
      </c>
      <c r="N10" s="88">
        <v>13</v>
      </c>
      <c r="O10" s="61">
        <v>19</v>
      </c>
      <c r="P10" s="62">
        <v>34</v>
      </c>
    </row>
    <row r="11" spans="1:16" x14ac:dyDescent="0.35">
      <c r="A11" s="84">
        <v>8</v>
      </c>
      <c r="B11" s="50">
        <v>17</v>
      </c>
      <c r="C11" s="50">
        <v>26</v>
      </c>
      <c r="D11" s="51">
        <v>35</v>
      </c>
      <c r="E11" s="75">
        <v>8</v>
      </c>
      <c r="F11" s="76">
        <v>15</v>
      </c>
      <c r="G11" s="87">
        <v>22</v>
      </c>
      <c r="H11" s="77">
        <v>29</v>
      </c>
      <c r="I11" s="49">
        <v>8</v>
      </c>
      <c r="J11" s="50">
        <v>13</v>
      </c>
      <c r="K11" s="50">
        <v>27</v>
      </c>
      <c r="L11" s="91">
        <v>32</v>
      </c>
      <c r="M11" s="75">
        <v>8</v>
      </c>
      <c r="N11" s="87">
        <v>14</v>
      </c>
      <c r="O11" s="76">
        <v>20</v>
      </c>
      <c r="P11" s="77">
        <v>35</v>
      </c>
    </row>
    <row r="12" spans="1:16" x14ac:dyDescent="0.35">
      <c r="A12" s="83">
        <v>9</v>
      </c>
      <c r="B12" s="61">
        <v>18</v>
      </c>
      <c r="C12" s="61">
        <v>27</v>
      </c>
      <c r="D12" s="62">
        <v>36</v>
      </c>
      <c r="E12" s="60">
        <v>9</v>
      </c>
      <c r="F12" s="61">
        <v>16</v>
      </c>
      <c r="G12" s="88">
        <v>23</v>
      </c>
      <c r="H12" s="62">
        <v>30</v>
      </c>
      <c r="I12" s="60">
        <v>9</v>
      </c>
      <c r="J12" s="61">
        <v>14</v>
      </c>
      <c r="K12" s="61">
        <v>19</v>
      </c>
      <c r="L12" s="92">
        <v>33</v>
      </c>
      <c r="M12" s="60">
        <v>9</v>
      </c>
      <c r="N12" s="88">
        <v>15</v>
      </c>
      <c r="O12" s="61">
        <v>21</v>
      </c>
      <c r="P12" s="62">
        <v>36</v>
      </c>
    </row>
    <row r="13" spans="1:16" ht="15" thickBot="1" x14ac:dyDescent="0.4"/>
    <row r="14" spans="1:16" x14ac:dyDescent="0.35">
      <c r="A14" s="108" t="s">
        <v>34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5.25" customHeight="1" thickBot="1" x14ac:dyDescent="0.4">
      <c r="A15" s="111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3"/>
    </row>
    <row r="16" spans="1:16" ht="15" thickBot="1" x14ac:dyDescent="0.4">
      <c r="A16" s="102" t="s">
        <v>30</v>
      </c>
      <c r="B16" s="103"/>
      <c r="C16" s="103"/>
      <c r="D16" s="104"/>
      <c r="E16" s="105" t="s">
        <v>31</v>
      </c>
      <c r="F16" s="106"/>
      <c r="G16" s="106"/>
      <c r="H16" s="107"/>
      <c r="I16" s="102" t="s">
        <v>32</v>
      </c>
      <c r="J16" s="103"/>
      <c r="K16" s="103"/>
      <c r="L16" s="104"/>
      <c r="M16" s="105" t="s">
        <v>33</v>
      </c>
      <c r="N16" s="106"/>
      <c r="O16" s="106"/>
      <c r="P16" s="107"/>
    </row>
    <row r="17" spans="1:16" x14ac:dyDescent="0.35">
      <c r="A17" s="57">
        <v>6</v>
      </c>
      <c r="B17" s="86">
        <v>18</v>
      </c>
      <c r="C17" s="58">
        <v>30</v>
      </c>
      <c r="D17" s="59">
        <v>33</v>
      </c>
      <c r="E17" s="57">
        <v>6</v>
      </c>
      <c r="F17" s="58">
        <v>19</v>
      </c>
      <c r="G17" s="58">
        <v>32</v>
      </c>
      <c r="H17" s="90">
        <v>36</v>
      </c>
      <c r="I17" s="57">
        <v>6</v>
      </c>
      <c r="J17" s="58">
        <v>23</v>
      </c>
      <c r="K17" s="86">
        <v>31</v>
      </c>
      <c r="L17" s="59">
        <v>3</v>
      </c>
      <c r="M17" s="81">
        <v>6</v>
      </c>
      <c r="N17" s="58">
        <v>21</v>
      </c>
      <c r="O17" s="58">
        <v>27</v>
      </c>
      <c r="P17" s="59">
        <v>33</v>
      </c>
    </row>
    <row r="18" spans="1:16" x14ac:dyDescent="0.35">
      <c r="A18" s="94">
        <v>7</v>
      </c>
      <c r="B18" s="95">
        <v>19</v>
      </c>
      <c r="C18" s="55">
        <v>31</v>
      </c>
      <c r="D18" s="56">
        <v>34</v>
      </c>
      <c r="E18" s="75">
        <v>7</v>
      </c>
      <c r="F18" s="76">
        <v>20</v>
      </c>
      <c r="G18" s="76">
        <v>24</v>
      </c>
      <c r="H18" s="98">
        <v>1</v>
      </c>
      <c r="I18" s="49">
        <v>7</v>
      </c>
      <c r="J18" s="50">
        <v>15</v>
      </c>
      <c r="K18" s="96">
        <v>32</v>
      </c>
      <c r="L18" s="51">
        <v>4</v>
      </c>
      <c r="M18" s="100">
        <v>7</v>
      </c>
      <c r="N18" s="76">
        <v>22</v>
      </c>
      <c r="O18" s="76">
        <v>28</v>
      </c>
      <c r="P18" s="77">
        <v>34</v>
      </c>
    </row>
    <row r="19" spans="1:16" x14ac:dyDescent="0.35">
      <c r="A19" s="60">
        <v>8</v>
      </c>
      <c r="B19" s="88">
        <v>20</v>
      </c>
      <c r="C19" s="61">
        <v>32</v>
      </c>
      <c r="D19" s="62">
        <v>35</v>
      </c>
      <c r="E19" s="60">
        <v>8</v>
      </c>
      <c r="F19" s="61">
        <v>21</v>
      </c>
      <c r="G19" s="61">
        <v>25</v>
      </c>
      <c r="H19" s="92">
        <v>2</v>
      </c>
      <c r="I19" s="60">
        <v>8</v>
      </c>
      <c r="J19" s="61">
        <v>16</v>
      </c>
      <c r="K19" s="88">
        <v>24</v>
      </c>
      <c r="L19" s="62">
        <v>5</v>
      </c>
      <c r="M19" s="83">
        <v>8</v>
      </c>
      <c r="N19" s="61">
        <v>23</v>
      </c>
      <c r="O19" s="61">
        <v>29</v>
      </c>
      <c r="P19" s="62">
        <v>35</v>
      </c>
    </row>
    <row r="20" spans="1:16" x14ac:dyDescent="0.35">
      <c r="A20" s="94">
        <v>9</v>
      </c>
      <c r="B20" s="95">
        <v>21</v>
      </c>
      <c r="C20" s="55">
        <v>24</v>
      </c>
      <c r="D20" s="56">
        <v>36</v>
      </c>
      <c r="E20" s="75">
        <v>9</v>
      </c>
      <c r="F20" s="76">
        <v>22</v>
      </c>
      <c r="G20" s="76">
        <v>26</v>
      </c>
      <c r="H20" s="98">
        <v>3</v>
      </c>
      <c r="I20" s="49">
        <v>9</v>
      </c>
      <c r="J20" s="50">
        <v>17</v>
      </c>
      <c r="K20" s="96">
        <v>25</v>
      </c>
      <c r="L20" s="51">
        <v>33</v>
      </c>
      <c r="M20" s="100">
        <v>9</v>
      </c>
      <c r="N20" s="76">
        <v>15</v>
      </c>
      <c r="O20" s="76">
        <v>30</v>
      </c>
      <c r="P20" s="77">
        <v>36</v>
      </c>
    </row>
    <row r="21" spans="1:16" x14ac:dyDescent="0.35">
      <c r="A21" s="60">
        <v>10</v>
      </c>
      <c r="B21" s="88">
        <v>22</v>
      </c>
      <c r="C21" s="61">
        <v>25</v>
      </c>
      <c r="D21" s="62">
        <v>1</v>
      </c>
      <c r="E21" s="60">
        <v>10</v>
      </c>
      <c r="F21" s="61">
        <v>23</v>
      </c>
      <c r="G21" s="61">
        <v>27</v>
      </c>
      <c r="H21" s="92">
        <v>4</v>
      </c>
      <c r="I21" s="60">
        <v>10</v>
      </c>
      <c r="J21" s="61">
        <v>18</v>
      </c>
      <c r="K21" s="88">
        <v>26</v>
      </c>
      <c r="L21" s="62">
        <v>34</v>
      </c>
      <c r="M21" s="83">
        <v>10</v>
      </c>
      <c r="N21" s="61">
        <v>16</v>
      </c>
      <c r="O21" s="61">
        <v>31</v>
      </c>
      <c r="P21" s="62">
        <v>1</v>
      </c>
    </row>
    <row r="22" spans="1:16" x14ac:dyDescent="0.35">
      <c r="A22" s="94">
        <v>11</v>
      </c>
      <c r="B22" s="95">
        <v>23</v>
      </c>
      <c r="C22" s="55">
        <v>26</v>
      </c>
      <c r="D22" s="56">
        <v>2</v>
      </c>
      <c r="E22" s="75">
        <v>11</v>
      </c>
      <c r="F22" s="76">
        <v>15</v>
      </c>
      <c r="G22" s="76">
        <v>28</v>
      </c>
      <c r="H22" s="98">
        <v>5</v>
      </c>
      <c r="I22" s="49">
        <v>11</v>
      </c>
      <c r="J22" s="50">
        <v>19</v>
      </c>
      <c r="K22" s="96">
        <v>27</v>
      </c>
      <c r="L22" s="51">
        <v>35</v>
      </c>
      <c r="M22" s="100">
        <v>11</v>
      </c>
      <c r="N22" s="76">
        <v>17</v>
      </c>
      <c r="O22" s="76">
        <v>32</v>
      </c>
      <c r="P22" s="77">
        <v>2</v>
      </c>
    </row>
    <row r="23" spans="1:16" x14ac:dyDescent="0.35">
      <c r="A23" s="60">
        <v>12</v>
      </c>
      <c r="B23" s="88">
        <v>15</v>
      </c>
      <c r="C23" s="61">
        <v>27</v>
      </c>
      <c r="D23" s="62">
        <v>3</v>
      </c>
      <c r="E23" s="60">
        <v>12</v>
      </c>
      <c r="F23" s="61">
        <v>16</v>
      </c>
      <c r="G23" s="61">
        <v>29</v>
      </c>
      <c r="H23" s="92">
        <v>33</v>
      </c>
      <c r="I23" s="60">
        <v>12</v>
      </c>
      <c r="J23" s="61">
        <v>20</v>
      </c>
      <c r="K23" s="88">
        <v>28</v>
      </c>
      <c r="L23" s="62">
        <v>36</v>
      </c>
      <c r="M23" s="83">
        <v>12</v>
      </c>
      <c r="N23" s="61">
        <v>18</v>
      </c>
      <c r="O23" s="61">
        <v>24</v>
      </c>
      <c r="P23" s="62">
        <v>3</v>
      </c>
    </row>
    <row r="24" spans="1:16" x14ac:dyDescent="0.35">
      <c r="A24" s="49">
        <v>13</v>
      </c>
      <c r="B24" s="96">
        <v>16</v>
      </c>
      <c r="C24" s="50">
        <v>28</v>
      </c>
      <c r="D24" s="51">
        <v>4</v>
      </c>
      <c r="E24" s="75">
        <v>13</v>
      </c>
      <c r="F24" s="76">
        <v>17</v>
      </c>
      <c r="G24" s="76">
        <v>30</v>
      </c>
      <c r="H24" s="98">
        <v>34</v>
      </c>
      <c r="I24" s="49">
        <v>13</v>
      </c>
      <c r="J24" s="50">
        <v>21</v>
      </c>
      <c r="K24" s="96">
        <v>29</v>
      </c>
      <c r="L24" s="51">
        <v>1</v>
      </c>
      <c r="M24" s="100">
        <v>13</v>
      </c>
      <c r="N24" s="76">
        <v>19</v>
      </c>
      <c r="O24" s="76">
        <v>25</v>
      </c>
      <c r="P24" s="77">
        <v>4</v>
      </c>
    </row>
    <row r="25" spans="1:16" x14ac:dyDescent="0.35">
      <c r="A25" s="60">
        <v>14</v>
      </c>
      <c r="B25" s="88">
        <v>17</v>
      </c>
      <c r="C25" s="61">
        <v>29</v>
      </c>
      <c r="D25" s="62">
        <v>5</v>
      </c>
      <c r="E25" s="60">
        <v>14</v>
      </c>
      <c r="F25" s="61">
        <v>18</v>
      </c>
      <c r="G25" s="61">
        <v>31</v>
      </c>
      <c r="H25" s="92">
        <v>35</v>
      </c>
      <c r="I25" s="60">
        <v>14</v>
      </c>
      <c r="J25" s="61">
        <v>22</v>
      </c>
      <c r="K25" s="88">
        <v>30</v>
      </c>
      <c r="L25" s="62">
        <v>2</v>
      </c>
      <c r="M25" s="83">
        <v>14</v>
      </c>
      <c r="N25" s="61">
        <v>20</v>
      </c>
      <c r="O25" s="61">
        <v>26</v>
      </c>
      <c r="P25" s="62">
        <v>5</v>
      </c>
    </row>
  </sheetData>
  <mergeCells count="10">
    <mergeCell ref="A16:D16"/>
    <mergeCell ref="E16:H16"/>
    <mergeCell ref="I16:L16"/>
    <mergeCell ref="M16:P16"/>
    <mergeCell ref="A1:P2"/>
    <mergeCell ref="A3:D3"/>
    <mergeCell ref="E3:H3"/>
    <mergeCell ref="I3:L3"/>
    <mergeCell ref="M3:P3"/>
    <mergeCell ref="A14:P15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2"/>
  <dimension ref="A1:V82"/>
  <sheetViews>
    <sheetView workbookViewId="0">
      <selection activeCell="D25" sqref="D25"/>
    </sheetView>
  </sheetViews>
  <sheetFormatPr defaultRowHeight="14.5" x14ac:dyDescent="0.35"/>
  <cols>
    <col min="4" max="4" width="8.453125" customWidth="1"/>
    <col min="7" max="7" width="9.1796875" style="5"/>
  </cols>
  <sheetData>
    <row r="1" spans="1:22" x14ac:dyDescent="0.35">
      <c r="B1">
        <f>IF(FLOOR(1*$B$2/32,1)&lt;1,1,FLOOR(1*$B$2/32,1))</f>
        <v>2</v>
      </c>
      <c r="C1">
        <f>FLOOR(2*$B$2/32,1)</f>
        <v>5</v>
      </c>
      <c r="D1">
        <f>FLOOR(3*$B$2/32,1)</f>
        <v>7</v>
      </c>
      <c r="G1" s="6">
        <v>0</v>
      </c>
      <c r="H1" s="7">
        <v>0</v>
      </c>
      <c r="I1" s="7">
        <v>0</v>
      </c>
      <c r="J1" s="7">
        <v>0</v>
      </c>
      <c r="K1">
        <f>IF(FLOOR(1*$B$2/32,1)&lt;1,1,FLOOR(1*$B$2/32,1))</f>
        <v>2</v>
      </c>
      <c r="L1">
        <f>IF(FLOOR(1*$B$2/32,1)&lt;1,1,FLOOR(1*$B$2/32,1))</f>
        <v>2</v>
      </c>
      <c r="M1">
        <f>IF(FLOOR(1*$B$2/32,1)&lt;1,1,FLOOR(1*$B$2/32,1))</f>
        <v>2</v>
      </c>
      <c r="N1">
        <f>IF(FLOOR(1*$B$2/32,1)&lt;1,1,FLOOR(1*$B$2/32,1))</f>
        <v>2</v>
      </c>
      <c r="O1">
        <f>IF(FLOOR(2*$B$2/32,1)&lt;2,2,FLOOR(2*$B$2/32,1))</f>
        <v>5</v>
      </c>
      <c r="P1">
        <f>IF(FLOOR(2*$B$2/32,1)&lt;2,2,FLOOR(2*$B$2/32,1))</f>
        <v>5</v>
      </c>
      <c r="Q1">
        <f>IF(FLOOR(2*$B$2/32,1)&lt;2,2,FLOOR(2*$B$2/32,1))</f>
        <v>5</v>
      </c>
      <c r="R1">
        <f>IF(FLOOR(2*$B$2/32,1)&lt;2,2,FLOOR(2*$B$2/32,1))</f>
        <v>5</v>
      </c>
      <c r="S1">
        <f>IF(FLOOR(3*$B$2/32,1)&lt;3,3,FLOOR(3*$B$2/32,1))</f>
        <v>7</v>
      </c>
      <c r="T1">
        <f>IF(FLOOR(3*$B$2/32,1)&lt;3,3,FLOOR(3*$B$2/32,1))</f>
        <v>7</v>
      </c>
      <c r="U1">
        <f>IF(FLOOR(3*$B$2/32,1)&lt;3,3,FLOOR(3*$B$2/32,1))</f>
        <v>7</v>
      </c>
      <c r="V1">
        <f>IF(FLOOR(3*$B$2/32,1)&lt;3,3,FLOOR(3*$B$2/32,1))</f>
        <v>7</v>
      </c>
    </row>
    <row r="2" spans="1:22" ht="15" thickBot="1" x14ac:dyDescent="0.4">
      <c r="A2">
        <f>CEILING(COUNTA(B3:B83)/4,1)*4</f>
        <v>80</v>
      </c>
      <c r="B2">
        <v>80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>
        <v>0</v>
      </c>
      <c r="P2">
        <v>1</v>
      </c>
      <c r="Q2">
        <v>2</v>
      </c>
      <c r="R2">
        <v>3</v>
      </c>
      <c r="S2">
        <v>0</v>
      </c>
      <c r="T2">
        <v>1</v>
      </c>
      <c r="U2">
        <v>2</v>
      </c>
      <c r="V2">
        <v>3</v>
      </c>
    </row>
    <row r="3" spans="1:22" x14ac:dyDescent="0.35">
      <c r="A3" s="1">
        <v>0</v>
      </c>
      <c r="B3" t="s">
        <v>0</v>
      </c>
      <c r="C3">
        <f>A4</f>
        <v>1</v>
      </c>
      <c r="D3">
        <v>9</v>
      </c>
      <c r="E3">
        <v>17</v>
      </c>
      <c r="F3">
        <v>25</v>
      </c>
      <c r="G3" s="8">
        <f t="shared" ref="G3:V12" si="0">MOD($A3-G$1*G$2,$B$2/4)+G$2*$B$2/4</f>
        <v>0</v>
      </c>
      <c r="H3" s="9">
        <f t="shared" si="0"/>
        <v>20</v>
      </c>
      <c r="I3" s="9">
        <f t="shared" si="0"/>
        <v>40</v>
      </c>
      <c r="J3" s="9">
        <f t="shared" si="0"/>
        <v>60</v>
      </c>
      <c r="K3" s="8">
        <f t="shared" si="0"/>
        <v>0</v>
      </c>
      <c r="L3" s="9">
        <f t="shared" si="0"/>
        <v>38</v>
      </c>
      <c r="M3" s="9">
        <f t="shared" si="0"/>
        <v>56</v>
      </c>
      <c r="N3" s="10">
        <f t="shared" si="0"/>
        <v>74</v>
      </c>
      <c r="O3" s="9">
        <f t="shared" si="0"/>
        <v>0</v>
      </c>
      <c r="P3" s="9">
        <f t="shared" si="0"/>
        <v>35</v>
      </c>
      <c r="Q3" s="9">
        <f t="shared" si="0"/>
        <v>50</v>
      </c>
      <c r="R3" s="9">
        <f t="shared" si="0"/>
        <v>65</v>
      </c>
      <c r="S3" s="8">
        <f t="shared" si="0"/>
        <v>0</v>
      </c>
      <c r="T3" s="9">
        <f t="shared" si="0"/>
        <v>33</v>
      </c>
      <c r="U3" s="9">
        <f t="shared" si="0"/>
        <v>46</v>
      </c>
      <c r="V3" s="10">
        <f t="shared" si="0"/>
        <v>79</v>
      </c>
    </row>
    <row r="4" spans="1:22" x14ac:dyDescent="0.35">
      <c r="A4" s="1">
        <v>1</v>
      </c>
      <c r="B4" t="s">
        <v>1</v>
      </c>
      <c r="C4">
        <v>2</v>
      </c>
      <c r="D4">
        <v>10</v>
      </c>
      <c r="E4">
        <v>18</v>
      </c>
      <c r="F4">
        <v>26</v>
      </c>
      <c r="G4" s="11">
        <f t="shared" si="0"/>
        <v>1</v>
      </c>
      <c r="H4">
        <f t="shared" si="0"/>
        <v>21</v>
      </c>
      <c r="I4">
        <f t="shared" si="0"/>
        <v>41</v>
      </c>
      <c r="J4">
        <f t="shared" si="0"/>
        <v>61</v>
      </c>
      <c r="K4" s="11">
        <f t="shared" si="0"/>
        <v>1</v>
      </c>
      <c r="L4">
        <f t="shared" si="0"/>
        <v>39</v>
      </c>
      <c r="M4">
        <f t="shared" si="0"/>
        <v>57</v>
      </c>
      <c r="N4" s="12">
        <f t="shared" si="0"/>
        <v>75</v>
      </c>
      <c r="O4">
        <f t="shared" si="0"/>
        <v>1</v>
      </c>
      <c r="P4">
        <f t="shared" si="0"/>
        <v>36</v>
      </c>
      <c r="Q4">
        <f t="shared" si="0"/>
        <v>51</v>
      </c>
      <c r="R4">
        <f t="shared" si="0"/>
        <v>66</v>
      </c>
      <c r="S4" s="11">
        <f t="shared" si="0"/>
        <v>1</v>
      </c>
      <c r="T4">
        <f t="shared" si="0"/>
        <v>34</v>
      </c>
      <c r="U4">
        <f t="shared" si="0"/>
        <v>47</v>
      </c>
      <c r="V4" s="12">
        <f t="shared" si="0"/>
        <v>60</v>
      </c>
    </row>
    <row r="5" spans="1:22" x14ac:dyDescent="0.35">
      <c r="A5" s="1">
        <v>2</v>
      </c>
      <c r="B5" t="s">
        <v>1</v>
      </c>
      <c r="C5">
        <f>A6</f>
        <v>3</v>
      </c>
      <c r="D5">
        <v>11</v>
      </c>
      <c r="E5">
        <v>19</v>
      </c>
      <c r="F5">
        <v>27</v>
      </c>
      <c r="G5" s="11">
        <f t="shared" si="0"/>
        <v>2</v>
      </c>
      <c r="H5">
        <f t="shared" si="0"/>
        <v>22</v>
      </c>
      <c r="I5">
        <f t="shared" si="0"/>
        <v>42</v>
      </c>
      <c r="J5">
        <f t="shared" si="0"/>
        <v>62</v>
      </c>
      <c r="K5" s="11">
        <f t="shared" si="0"/>
        <v>2</v>
      </c>
      <c r="L5">
        <f t="shared" si="0"/>
        <v>20</v>
      </c>
      <c r="M5">
        <f t="shared" si="0"/>
        <v>58</v>
      </c>
      <c r="N5" s="12">
        <f t="shared" si="0"/>
        <v>76</v>
      </c>
      <c r="O5">
        <f t="shared" si="0"/>
        <v>2</v>
      </c>
      <c r="P5">
        <f t="shared" si="0"/>
        <v>37</v>
      </c>
      <c r="Q5">
        <f t="shared" si="0"/>
        <v>52</v>
      </c>
      <c r="R5">
        <f t="shared" si="0"/>
        <v>67</v>
      </c>
      <c r="S5" s="11">
        <f t="shared" si="0"/>
        <v>2</v>
      </c>
      <c r="T5">
        <f t="shared" si="0"/>
        <v>35</v>
      </c>
      <c r="U5">
        <f t="shared" si="0"/>
        <v>48</v>
      </c>
      <c r="V5" s="12">
        <f t="shared" si="0"/>
        <v>61</v>
      </c>
    </row>
    <row r="6" spans="1:22" x14ac:dyDescent="0.35">
      <c r="A6" s="1">
        <v>3</v>
      </c>
      <c r="B6" t="s">
        <v>2</v>
      </c>
      <c r="C6">
        <v>4</v>
      </c>
      <c r="D6">
        <v>12</v>
      </c>
      <c r="E6">
        <v>20</v>
      </c>
      <c r="F6">
        <v>28</v>
      </c>
      <c r="G6" s="11">
        <f t="shared" si="0"/>
        <v>3</v>
      </c>
      <c r="H6">
        <f t="shared" si="0"/>
        <v>23</v>
      </c>
      <c r="I6">
        <f t="shared" si="0"/>
        <v>43</v>
      </c>
      <c r="J6">
        <f t="shared" si="0"/>
        <v>63</v>
      </c>
      <c r="K6" s="11">
        <f t="shared" si="0"/>
        <v>3</v>
      </c>
      <c r="L6">
        <f t="shared" si="0"/>
        <v>21</v>
      </c>
      <c r="M6">
        <f t="shared" si="0"/>
        <v>59</v>
      </c>
      <c r="N6" s="12">
        <f t="shared" si="0"/>
        <v>77</v>
      </c>
      <c r="O6">
        <f t="shared" si="0"/>
        <v>3</v>
      </c>
      <c r="P6">
        <f t="shared" si="0"/>
        <v>38</v>
      </c>
      <c r="Q6">
        <f t="shared" si="0"/>
        <v>53</v>
      </c>
      <c r="R6">
        <f t="shared" si="0"/>
        <v>68</v>
      </c>
      <c r="S6" s="11">
        <f t="shared" si="0"/>
        <v>3</v>
      </c>
      <c r="T6">
        <f t="shared" si="0"/>
        <v>36</v>
      </c>
      <c r="U6">
        <f t="shared" si="0"/>
        <v>49</v>
      </c>
      <c r="V6" s="12">
        <f t="shared" si="0"/>
        <v>62</v>
      </c>
    </row>
    <row r="7" spans="1:22" x14ac:dyDescent="0.35">
      <c r="A7" s="1">
        <v>4</v>
      </c>
      <c r="B7" t="s">
        <v>2</v>
      </c>
      <c r="C7">
        <f>A8</f>
        <v>5</v>
      </c>
      <c r="D7">
        <v>13</v>
      </c>
      <c r="E7">
        <v>21</v>
      </c>
      <c r="F7">
        <v>29</v>
      </c>
      <c r="G7" s="11">
        <f t="shared" si="0"/>
        <v>4</v>
      </c>
      <c r="H7">
        <f t="shared" si="0"/>
        <v>24</v>
      </c>
      <c r="I7">
        <f t="shared" si="0"/>
        <v>44</v>
      </c>
      <c r="J7">
        <f t="shared" si="0"/>
        <v>64</v>
      </c>
      <c r="K7" s="11">
        <f t="shared" si="0"/>
        <v>4</v>
      </c>
      <c r="L7">
        <f t="shared" si="0"/>
        <v>22</v>
      </c>
      <c r="M7">
        <f t="shared" si="0"/>
        <v>40</v>
      </c>
      <c r="N7" s="12">
        <f t="shared" si="0"/>
        <v>78</v>
      </c>
      <c r="O7">
        <f t="shared" si="0"/>
        <v>4</v>
      </c>
      <c r="P7">
        <f t="shared" si="0"/>
        <v>39</v>
      </c>
      <c r="Q7">
        <f t="shared" si="0"/>
        <v>54</v>
      </c>
      <c r="R7">
        <f t="shared" si="0"/>
        <v>69</v>
      </c>
      <c r="S7" s="11">
        <f t="shared" si="0"/>
        <v>4</v>
      </c>
      <c r="T7">
        <f t="shared" si="0"/>
        <v>37</v>
      </c>
      <c r="U7">
        <f t="shared" si="0"/>
        <v>50</v>
      </c>
      <c r="V7" s="12">
        <f t="shared" si="0"/>
        <v>63</v>
      </c>
    </row>
    <row r="8" spans="1:22" x14ac:dyDescent="0.35">
      <c r="A8" s="1">
        <v>5</v>
      </c>
      <c r="B8" t="s">
        <v>2</v>
      </c>
      <c r="C8">
        <v>6</v>
      </c>
      <c r="D8">
        <v>14</v>
      </c>
      <c r="E8">
        <v>22</v>
      </c>
      <c r="F8">
        <v>30</v>
      </c>
      <c r="G8" s="11">
        <f t="shared" si="0"/>
        <v>5</v>
      </c>
      <c r="H8">
        <f t="shared" si="0"/>
        <v>25</v>
      </c>
      <c r="I8">
        <f t="shared" si="0"/>
        <v>45</v>
      </c>
      <c r="J8">
        <f t="shared" si="0"/>
        <v>65</v>
      </c>
      <c r="K8" s="11">
        <f t="shared" si="0"/>
        <v>5</v>
      </c>
      <c r="L8">
        <f t="shared" si="0"/>
        <v>23</v>
      </c>
      <c r="M8">
        <f t="shared" si="0"/>
        <v>41</v>
      </c>
      <c r="N8" s="12">
        <f t="shared" si="0"/>
        <v>79</v>
      </c>
      <c r="O8">
        <f t="shared" si="0"/>
        <v>5</v>
      </c>
      <c r="P8">
        <f t="shared" si="0"/>
        <v>20</v>
      </c>
      <c r="Q8">
        <f t="shared" si="0"/>
        <v>55</v>
      </c>
      <c r="R8">
        <f t="shared" si="0"/>
        <v>70</v>
      </c>
      <c r="S8" s="11">
        <f t="shared" si="0"/>
        <v>5</v>
      </c>
      <c r="T8">
        <f t="shared" si="0"/>
        <v>38</v>
      </c>
      <c r="U8">
        <f t="shared" si="0"/>
        <v>51</v>
      </c>
      <c r="V8" s="12">
        <f t="shared" si="0"/>
        <v>64</v>
      </c>
    </row>
    <row r="9" spans="1:22" x14ac:dyDescent="0.35">
      <c r="A9" s="1">
        <v>6</v>
      </c>
      <c r="B9" t="s">
        <v>2</v>
      </c>
      <c r="C9">
        <f>A10</f>
        <v>7</v>
      </c>
      <c r="D9">
        <v>15</v>
      </c>
      <c r="E9">
        <v>23</v>
      </c>
      <c r="F9">
        <v>31</v>
      </c>
      <c r="G9" s="11">
        <f t="shared" si="0"/>
        <v>6</v>
      </c>
      <c r="H9">
        <f t="shared" si="0"/>
        <v>26</v>
      </c>
      <c r="I9">
        <f t="shared" si="0"/>
        <v>46</v>
      </c>
      <c r="J9">
        <f t="shared" si="0"/>
        <v>66</v>
      </c>
      <c r="K9" s="11">
        <f t="shared" si="0"/>
        <v>6</v>
      </c>
      <c r="L9">
        <f t="shared" si="0"/>
        <v>24</v>
      </c>
      <c r="M9">
        <f t="shared" si="0"/>
        <v>42</v>
      </c>
      <c r="N9" s="12">
        <f t="shared" si="0"/>
        <v>60</v>
      </c>
      <c r="O9">
        <f t="shared" si="0"/>
        <v>6</v>
      </c>
      <c r="P9">
        <f t="shared" si="0"/>
        <v>21</v>
      </c>
      <c r="Q9">
        <f t="shared" si="0"/>
        <v>56</v>
      </c>
      <c r="R9">
        <f t="shared" si="0"/>
        <v>71</v>
      </c>
      <c r="S9" s="11">
        <f t="shared" si="0"/>
        <v>6</v>
      </c>
      <c r="T9">
        <f t="shared" si="0"/>
        <v>39</v>
      </c>
      <c r="U9">
        <f t="shared" si="0"/>
        <v>52</v>
      </c>
      <c r="V9" s="12">
        <f t="shared" si="0"/>
        <v>65</v>
      </c>
    </row>
    <row r="10" spans="1:22" x14ac:dyDescent="0.35">
      <c r="A10" s="1">
        <v>7</v>
      </c>
      <c r="B10" t="s">
        <v>3</v>
      </c>
      <c r="C10">
        <v>8</v>
      </c>
      <c r="D10">
        <v>16</v>
      </c>
      <c r="E10">
        <v>24</v>
      </c>
      <c r="F10">
        <v>32</v>
      </c>
      <c r="G10" s="11">
        <f t="shared" si="0"/>
        <v>7</v>
      </c>
      <c r="H10">
        <f t="shared" si="0"/>
        <v>27</v>
      </c>
      <c r="I10">
        <f t="shared" si="0"/>
        <v>47</v>
      </c>
      <c r="J10">
        <f t="shared" si="0"/>
        <v>67</v>
      </c>
      <c r="K10" s="11">
        <f t="shared" si="0"/>
        <v>7</v>
      </c>
      <c r="L10">
        <f t="shared" si="0"/>
        <v>25</v>
      </c>
      <c r="M10">
        <f t="shared" si="0"/>
        <v>43</v>
      </c>
      <c r="N10" s="12">
        <f t="shared" si="0"/>
        <v>61</v>
      </c>
      <c r="O10">
        <f t="shared" si="0"/>
        <v>7</v>
      </c>
      <c r="P10">
        <f t="shared" si="0"/>
        <v>22</v>
      </c>
      <c r="Q10">
        <f t="shared" si="0"/>
        <v>57</v>
      </c>
      <c r="R10">
        <f t="shared" si="0"/>
        <v>72</v>
      </c>
      <c r="S10" s="11">
        <f t="shared" si="0"/>
        <v>7</v>
      </c>
      <c r="T10">
        <f t="shared" si="0"/>
        <v>20</v>
      </c>
      <c r="U10">
        <f t="shared" si="0"/>
        <v>53</v>
      </c>
      <c r="V10" s="12">
        <f t="shared" si="0"/>
        <v>66</v>
      </c>
    </row>
    <row r="11" spans="1:22" x14ac:dyDescent="0.35">
      <c r="A11" s="1">
        <v>8</v>
      </c>
      <c r="B11" t="s">
        <v>3</v>
      </c>
      <c r="G11" s="11">
        <f t="shared" si="0"/>
        <v>8</v>
      </c>
      <c r="H11">
        <f t="shared" si="0"/>
        <v>28</v>
      </c>
      <c r="I11">
        <f t="shared" si="0"/>
        <v>48</v>
      </c>
      <c r="J11">
        <f t="shared" si="0"/>
        <v>68</v>
      </c>
      <c r="K11" s="11">
        <f t="shared" si="0"/>
        <v>8</v>
      </c>
      <c r="L11">
        <f t="shared" si="0"/>
        <v>26</v>
      </c>
      <c r="M11">
        <f t="shared" si="0"/>
        <v>44</v>
      </c>
      <c r="N11" s="12">
        <f t="shared" si="0"/>
        <v>62</v>
      </c>
      <c r="O11">
        <f t="shared" si="0"/>
        <v>8</v>
      </c>
      <c r="P11">
        <f t="shared" si="0"/>
        <v>23</v>
      </c>
      <c r="Q11">
        <f t="shared" si="0"/>
        <v>58</v>
      </c>
      <c r="R11">
        <f t="shared" si="0"/>
        <v>73</v>
      </c>
      <c r="S11" s="11">
        <f t="shared" si="0"/>
        <v>8</v>
      </c>
      <c r="T11">
        <f t="shared" si="0"/>
        <v>21</v>
      </c>
      <c r="U11">
        <f t="shared" si="0"/>
        <v>54</v>
      </c>
      <c r="V11" s="12">
        <f t="shared" si="0"/>
        <v>67</v>
      </c>
    </row>
    <row r="12" spans="1:22" x14ac:dyDescent="0.35">
      <c r="A12" s="3">
        <v>9</v>
      </c>
      <c r="B12" t="s">
        <v>3</v>
      </c>
      <c r="G12" s="11">
        <f t="shared" si="0"/>
        <v>9</v>
      </c>
      <c r="H12">
        <f t="shared" si="0"/>
        <v>29</v>
      </c>
      <c r="I12">
        <f t="shared" si="0"/>
        <v>49</v>
      </c>
      <c r="J12">
        <f t="shared" si="0"/>
        <v>69</v>
      </c>
      <c r="K12" s="11">
        <f t="shared" si="0"/>
        <v>9</v>
      </c>
      <c r="L12">
        <f t="shared" si="0"/>
        <v>27</v>
      </c>
      <c r="M12">
        <f t="shared" si="0"/>
        <v>45</v>
      </c>
      <c r="N12" s="12">
        <f t="shared" si="0"/>
        <v>63</v>
      </c>
      <c r="O12">
        <f t="shared" si="0"/>
        <v>9</v>
      </c>
      <c r="P12">
        <f t="shared" si="0"/>
        <v>24</v>
      </c>
      <c r="Q12">
        <f t="shared" si="0"/>
        <v>59</v>
      </c>
      <c r="R12">
        <f t="shared" si="0"/>
        <v>74</v>
      </c>
      <c r="S12" s="11">
        <f t="shared" si="0"/>
        <v>9</v>
      </c>
      <c r="T12">
        <f t="shared" si="0"/>
        <v>22</v>
      </c>
      <c r="U12">
        <f t="shared" si="0"/>
        <v>55</v>
      </c>
      <c r="V12" s="12">
        <f t="shared" si="0"/>
        <v>68</v>
      </c>
    </row>
    <row r="13" spans="1:22" x14ac:dyDescent="0.35">
      <c r="A13" s="3">
        <v>10</v>
      </c>
      <c r="B13" t="s">
        <v>3</v>
      </c>
      <c r="G13" s="11">
        <f t="shared" ref="G13:V22" si="1">MOD($A13-G$1*G$2,$B$2/4)+G$2*$B$2/4</f>
        <v>10</v>
      </c>
      <c r="H13">
        <f t="shared" si="1"/>
        <v>30</v>
      </c>
      <c r="I13">
        <f t="shared" si="1"/>
        <v>50</v>
      </c>
      <c r="J13">
        <f t="shared" si="1"/>
        <v>70</v>
      </c>
      <c r="K13" s="11">
        <f t="shared" si="1"/>
        <v>10</v>
      </c>
      <c r="L13">
        <f t="shared" si="1"/>
        <v>28</v>
      </c>
      <c r="M13">
        <f t="shared" si="1"/>
        <v>46</v>
      </c>
      <c r="N13" s="12">
        <f t="shared" si="1"/>
        <v>64</v>
      </c>
      <c r="O13">
        <f t="shared" si="1"/>
        <v>10</v>
      </c>
      <c r="P13">
        <f t="shared" si="1"/>
        <v>25</v>
      </c>
      <c r="Q13">
        <f t="shared" si="1"/>
        <v>40</v>
      </c>
      <c r="R13">
        <f t="shared" si="1"/>
        <v>75</v>
      </c>
      <c r="S13" s="11">
        <f t="shared" si="1"/>
        <v>10</v>
      </c>
      <c r="T13">
        <f t="shared" si="1"/>
        <v>23</v>
      </c>
      <c r="U13">
        <f t="shared" si="1"/>
        <v>56</v>
      </c>
      <c r="V13" s="12">
        <f t="shared" si="1"/>
        <v>69</v>
      </c>
    </row>
    <row r="14" spans="1:22" x14ac:dyDescent="0.35">
      <c r="A14" s="3">
        <v>11</v>
      </c>
      <c r="B14" t="s">
        <v>3</v>
      </c>
      <c r="G14" s="11">
        <f t="shared" si="1"/>
        <v>11</v>
      </c>
      <c r="H14">
        <f t="shared" si="1"/>
        <v>31</v>
      </c>
      <c r="I14">
        <f t="shared" si="1"/>
        <v>51</v>
      </c>
      <c r="J14">
        <f t="shared" si="1"/>
        <v>71</v>
      </c>
      <c r="K14" s="11">
        <f t="shared" si="1"/>
        <v>11</v>
      </c>
      <c r="L14">
        <f t="shared" si="1"/>
        <v>29</v>
      </c>
      <c r="M14">
        <f t="shared" si="1"/>
        <v>47</v>
      </c>
      <c r="N14" s="12">
        <f t="shared" si="1"/>
        <v>65</v>
      </c>
      <c r="O14">
        <f t="shared" si="1"/>
        <v>11</v>
      </c>
      <c r="P14">
        <f t="shared" si="1"/>
        <v>26</v>
      </c>
      <c r="Q14">
        <f t="shared" si="1"/>
        <v>41</v>
      </c>
      <c r="R14">
        <f t="shared" si="1"/>
        <v>76</v>
      </c>
      <c r="S14" s="11">
        <f t="shared" si="1"/>
        <v>11</v>
      </c>
      <c r="T14">
        <f t="shared" si="1"/>
        <v>24</v>
      </c>
      <c r="U14">
        <f t="shared" si="1"/>
        <v>57</v>
      </c>
      <c r="V14" s="12">
        <f t="shared" si="1"/>
        <v>70</v>
      </c>
    </row>
    <row r="15" spans="1:22" x14ac:dyDescent="0.35">
      <c r="A15" s="3">
        <v>12</v>
      </c>
      <c r="B15" t="s">
        <v>3</v>
      </c>
      <c r="G15" s="11">
        <f t="shared" si="1"/>
        <v>12</v>
      </c>
      <c r="H15">
        <f t="shared" si="1"/>
        <v>32</v>
      </c>
      <c r="I15">
        <f t="shared" si="1"/>
        <v>52</v>
      </c>
      <c r="J15">
        <f t="shared" si="1"/>
        <v>72</v>
      </c>
      <c r="K15" s="11">
        <f t="shared" si="1"/>
        <v>12</v>
      </c>
      <c r="L15">
        <f t="shared" si="1"/>
        <v>30</v>
      </c>
      <c r="M15">
        <f t="shared" si="1"/>
        <v>48</v>
      </c>
      <c r="N15" s="12">
        <f t="shared" si="1"/>
        <v>66</v>
      </c>
      <c r="O15">
        <f t="shared" si="1"/>
        <v>12</v>
      </c>
      <c r="P15">
        <f t="shared" si="1"/>
        <v>27</v>
      </c>
      <c r="Q15">
        <f t="shared" si="1"/>
        <v>42</v>
      </c>
      <c r="R15">
        <f t="shared" si="1"/>
        <v>77</v>
      </c>
      <c r="S15" s="11">
        <f t="shared" si="1"/>
        <v>12</v>
      </c>
      <c r="T15">
        <f t="shared" si="1"/>
        <v>25</v>
      </c>
      <c r="U15">
        <f t="shared" si="1"/>
        <v>58</v>
      </c>
      <c r="V15" s="12">
        <f t="shared" si="1"/>
        <v>71</v>
      </c>
    </row>
    <row r="16" spans="1:22" x14ac:dyDescent="0.35">
      <c r="A16" s="3">
        <v>13</v>
      </c>
      <c r="B16" t="s">
        <v>4</v>
      </c>
      <c r="G16" s="11">
        <f t="shared" si="1"/>
        <v>13</v>
      </c>
      <c r="H16">
        <f t="shared" si="1"/>
        <v>33</v>
      </c>
      <c r="I16">
        <f t="shared" si="1"/>
        <v>53</v>
      </c>
      <c r="J16">
        <f t="shared" si="1"/>
        <v>73</v>
      </c>
      <c r="K16" s="11">
        <f t="shared" si="1"/>
        <v>13</v>
      </c>
      <c r="L16">
        <f t="shared" si="1"/>
        <v>31</v>
      </c>
      <c r="M16">
        <f t="shared" si="1"/>
        <v>49</v>
      </c>
      <c r="N16" s="12">
        <f t="shared" si="1"/>
        <v>67</v>
      </c>
      <c r="O16">
        <f t="shared" si="1"/>
        <v>13</v>
      </c>
      <c r="P16">
        <f t="shared" si="1"/>
        <v>28</v>
      </c>
      <c r="Q16">
        <f t="shared" si="1"/>
        <v>43</v>
      </c>
      <c r="R16">
        <f t="shared" si="1"/>
        <v>78</v>
      </c>
      <c r="S16" s="11">
        <f t="shared" si="1"/>
        <v>13</v>
      </c>
      <c r="T16">
        <f t="shared" si="1"/>
        <v>26</v>
      </c>
      <c r="U16">
        <f t="shared" si="1"/>
        <v>59</v>
      </c>
      <c r="V16" s="12">
        <f t="shared" si="1"/>
        <v>72</v>
      </c>
    </row>
    <row r="17" spans="1:22" x14ac:dyDescent="0.35">
      <c r="A17" s="3">
        <v>14</v>
      </c>
      <c r="B17" t="s">
        <v>4</v>
      </c>
      <c r="G17" s="11">
        <f t="shared" si="1"/>
        <v>14</v>
      </c>
      <c r="H17">
        <f t="shared" si="1"/>
        <v>34</v>
      </c>
      <c r="I17">
        <f t="shared" si="1"/>
        <v>54</v>
      </c>
      <c r="J17">
        <f t="shared" si="1"/>
        <v>74</v>
      </c>
      <c r="K17" s="11">
        <f t="shared" si="1"/>
        <v>14</v>
      </c>
      <c r="L17">
        <f t="shared" si="1"/>
        <v>32</v>
      </c>
      <c r="M17">
        <f t="shared" si="1"/>
        <v>50</v>
      </c>
      <c r="N17" s="12">
        <f t="shared" si="1"/>
        <v>68</v>
      </c>
      <c r="O17">
        <f t="shared" si="1"/>
        <v>14</v>
      </c>
      <c r="P17">
        <f t="shared" si="1"/>
        <v>29</v>
      </c>
      <c r="Q17">
        <f t="shared" si="1"/>
        <v>44</v>
      </c>
      <c r="R17">
        <f t="shared" si="1"/>
        <v>79</v>
      </c>
      <c r="S17" s="11">
        <f t="shared" si="1"/>
        <v>14</v>
      </c>
      <c r="T17">
        <f t="shared" si="1"/>
        <v>27</v>
      </c>
      <c r="U17">
        <f t="shared" si="1"/>
        <v>40</v>
      </c>
      <c r="V17" s="12">
        <f t="shared" si="1"/>
        <v>73</v>
      </c>
    </row>
    <row r="18" spans="1:22" x14ac:dyDescent="0.35">
      <c r="A18" s="3">
        <v>15</v>
      </c>
      <c r="B18" t="s">
        <v>4</v>
      </c>
      <c r="G18" s="11">
        <f t="shared" si="1"/>
        <v>15</v>
      </c>
      <c r="H18">
        <f t="shared" si="1"/>
        <v>35</v>
      </c>
      <c r="I18">
        <f t="shared" si="1"/>
        <v>55</v>
      </c>
      <c r="J18">
        <f t="shared" si="1"/>
        <v>75</v>
      </c>
      <c r="K18" s="11">
        <f t="shared" si="1"/>
        <v>15</v>
      </c>
      <c r="L18">
        <f t="shared" si="1"/>
        <v>33</v>
      </c>
      <c r="M18">
        <f t="shared" si="1"/>
        <v>51</v>
      </c>
      <c r="N18" s="12">
        <f t="shared" si="1"/>
        <v>69</v>
      </c>
      <c r="O18">
        <f t="shared" si="1"/>
        <v>15</v>
      </c>
      <c r="P18">
        <f t="shared" si="1"/>
        <v>30</v>
      </c>
      <c r="Q18">
        <f t="shared" si="1"/>
        <v>45</v>
      </c>
      <c r="R18">
        <f t="shared" si="1"/>
        <v>60</v>
      </c>
      <c r="S18" s="11">
        <f t="shared" si="1"/>
        <v>15</v>
      </c>
      <c r="T18">
        <f t="shared" si="1"/>
        <v>28</v>
      </c>
      <c r="U18">
        <f t="shared" si="1"/>
        <v>41</v>
      </c>
      <c r="V18" s="12">
        <f t="shared" si="1"/>
        <v>74</v>
      </c>
    </row>
    <row r="19" spans="1:22" x14ac:dyDescent="0.35">
      <c r="A19" s="3">
        <v>16</v>
      </c>
      <c r="B19" t="s">
        <v>5</v>
      </c>
      <c r="G19" s="11">
        <f t="shared" si="1"/>
        <v>16</v>
      </c>
      <c r="H19">
        <f t="shared" si="1"/>
        <v>36</v>
      </c>
      <c r="I19">
        <f t="shared" si="1"/>
        <v>56</v>
      </c>
      <c r="J19">
        <f t="shared" si="1"/>
        <v>76</v>
      </c>
      <c r="K19" s="11">
        <f t="shared" si="1"/>
        <v>16</v>
      </c>
      <c r="L19">
        <f t="shared" si="1"/>
        <v>34</v>
      </c>
      <c r="M19">
        <f t="shared" si="1"/>
        <v>52</v>
      </c>
      <c r="N19" s="12">
        <f t="shared" si="1"/>
        <v>70</v>
      </c>
      <c r="O19">
        <f t="shared" si="1"/>
        <v>16</v>
      </c>
      <c r="P19">
        <f t="shared" si="1"/>
        <v>31</v>
      </c>
      <c r="Q19">
        <f t="shared" si="1"/>
        <v>46</v>
      </c>
      <c r="R19">
        <f t="shared" si="1"/>
        <v>61</v>
      </c>
      <c r="S19" s="11">
        <f t="shared" si="1"/>
        <v>16</v>
      </c>
      <c r="T19">
        <f t="shared" si="1"/>
        <v>29</v>
      </c>
      <c r="U19">
        <f t="shared" si="1"/>
        <v>42</v>
      </c>
      <c r="V19" s="12">
        <f t="shared" si="1"/>
        <v>75</v>
      </c>
    </row>
    <row r="20" spans="1:22" x14ac:dyDescent="0.35">
      <c r="A20" s="2">
        <v>17</v>
      </c>
      <c r="B20" t="s">
        <v>5</v>
      </c>
      <c r="G20" s="11">
        <f t="shared" si="1"/>
        <v>17</v>
      </c>
      <c r="H20">
        <f t="shared" si="1"/>
        <v>37</v>
      </c>
      <c r="I20">
        <f t="shared" si="1"/>
        <v>57</v>
      </c>
      <c r="J20">
        <f t="shared" si="1"/>
        <v>77</v>
      </c>
      <c r="K20" s="11">
        <f t="shared" si="1"/>
        <v>17</v>
      </c>
      <c r="L20">
        <f t="shared" si="1"/>
        <v>35</v>
      </c>
      <c r="M20">
        <f t="shared" si="1"/>
        <v>53</v>
      </c>
      <c r="N20" s="12">
        <f t="shared" si="1"/>
        <v>71</v>
      </c>
      <c r="O20">
        <f t="shared" si="1"/>
        <v>17</v>
      </c>
      <c r="P20">
        <f t="shared" si="1"/>
        <v>32</v>
      </c>
      <c r="Q20">
        <f t="shared" si="1"/>
        <v>47</v>
      </c>
      <c r="R20">
        <f t="shared" si="1"/>
        <v>62</v>
      </c>
      <c r="S20" s="11">
        <f t="shared" si="1"/>
        <v>17</v>
      </c>
      <c r="T20">
        <f t="shared" si="1"/>
        <v>30</v>
      </c>
      <c r="U20">
        <f t="shared" si="1"/>
        <v>43</v>
      </c>
      <c r="V20" s="12">
        <f t="shared" si="1"/>
        <v>76</v>
      </c>
    </row>
    <row r="21" spans="1:22" x14ac:dyDescent="0.35">
      <c r="A21" s="2">
        <v>18</v>
      </c>
      <c r="B21" t="s">
        <v>5</v>
      </c>
      <c r="G21" s="11">
        <f t="shared" si="1"/>
        <v>18</v>
      </c>
      <c r="H21">
        <f t="shared" si="1"/>
        <v>38</v>
      </c>
      <c r="I21">
        <f t="shared" si="1"/>
        <v>58</v>
      </c>
      <c r="J21">
        <f t="shared" si="1"/>
        <v>78</v>
      </c>
      <c r="K21" s="11">
        <f t="shared" si="1"/>
        <v>18</v>
      </c>
      <c r="L21">
        <f t="shared" si="1"/>
        <v>36</v>
      </c>
      <c r="M21">
        <f t="shared" si="1"/>
        <v>54</v>
      </c>
      <c r="N21" s="12">
        <f t="shared" si="1"/>
        <v>72</v>
      </c>
      <c r="O21">
        <f t="shared" si="1"/>
        <v>18</v>
      </c>
      <c r="P21">
        <f t="shared" si="1"/>
        <v>33</v>
      </c>
      <c r="Q21">
        <f t="shared" si="1"/>
        <v>48</v>
      </c>
      <c r="R21">
        <f t="shared" si="1"/>
        <v>63</v>
      </c>
      <c r="S21" s="11">
        <f t="shared" si="1"/>
        <v>18</v>
      </c>
      <c r="T21">
        <f t="shared" si="1"/>
        <v>31</v>
      </c>
      <c r="U21">
        <f t="shared" si="1"/>
        <v>44</v>
      </c>
      <c r="V21" s="12">
        <f t="shared" si="1"/>
        <v>77</v>
      </c>
    </row>
    <row r="22" spans="1:22" ht="15" thickBot="1" x14ac:dyDescent="0.4">
      <c r="A22" s="2">
        <v>19</v>
      </c>
      <c r="B22" t="s">
        <v>5</v>
      </c>
      <c r="G22" s="13">
        <f t="shared" si="1"/>
        <v>19</v>
      </c>
      <c r="H22" s="14">
        <f t="shared" si="1"/>
        <v>39</v>
      </c>
      <c r="I22" s="14">
        <f t="shared" si="1"/>
        <v>59</v>
      </c>
      <c r="J22" s="14">
        <f t="shared" si="1"/>
        <v>79</v>
      </c>
      <c r="K22" s="13">
        <f t="shared" si="1"/>
        <v>19</v>
      </c>
      <c r="L22" s="14">
        <f t="shared" si="1"/>
        <v>37</v>
      </c>
      <c r="M22" s="14">
        <f t="shared" si="1"/>
        <v>55</v>
      </c>
      <c r="N22" s="15">
        <f t="shared" si="1"/>
        <v>73</v>
      </c>
      <c r="O22" s="14">
        <f t="shared" si="1"/>
        <v>19</v>
      </c>
      <c r="P22" s="14">
        <f t="shared" si="1"/>
        <v>34</v>
      </c>
      <c r="Q22" s="14">
        <f t="shared" si="1"/>
        <v>49</v>
      </c>
      <c r="R22" s="14">
        <f t="shared" si="1"/>
        <v>64</v>
      </c>
      <c r="S22" s="13">
        <f t="shared" si="1"/>
        <v>19</v>
      </c>
      <c r="T22" s="14">
        <f t="shared" si="1"/>
        <v>32</v>
      </c>
      <c r="U22" s="14">
        <f t="shared" si="1"/>
        <v>45</v>
      </c>
      <c r="V22" s="15">
        <f t="shared" si="1"/>
        <v>78</v>
      </c>
    </row>
    <row r="23" spans="1:22" x14ac:dyDescent="0.35">
      <c r="A23" s="2">
        <v>20</v>
      </c>
      <c r="B23" t="s">
        <v>5</v>
      </c>
    </row>
    <row r="24" spans="1:22" x14ac:dyDescent="0.35">
      <c r="A24" s="2">
        <v>21</v>
      </c>
      <c r="B24" t="s">
        <v>6</v>
      </c>
    </row>
    <row r="25" spans="1:22" x14ac:dyDescent="0.35">
      <c r="A25" s="2">
        <v>22</v>
      </c>
      <c r="B25" t="s">
        <v>6</v>
      </c>
    </row>
    <row r="26" spans="1:22" x14ac:dyDescent="0.35">
      <c r="A26" s="2">
        <v>23</v>
      </c>
      <c r="B26" t="s">
        <v>6</v>
      </c>
    </row>
    <row r="27" spans="1:22" x14ac:dyDescent="0.35">
      <c r="A27" s="2">
        <v>24</v>
      </c>
      <c r="B27" t="s">
        <v>6</v>
      </c>
    </row>
    <row r="28" spans="1:22" x14ac:dyDescent="0.35">
      <c r="A28" s="4">
        <v>25</v>
      </c>
      <c r="B28" t="s">
        <v>6</v>
      </c>
    </row>
    <row r="29" spans="1:22" x14ac:dyDescent="0.35">
      <c r="A29" s="4">
        <v>26</v>
      </c>
      <c r="B29" t="s">
        <v>6</v>
      </c>
    </row>
    <row r="30" spans="1:22" x14ac:dyDescent="0.35">
      <c r="A30" s="4">
        <v>27</v>
      </c>
      <c r="B30" t="s">
        <v>6</v>
      </c>
    </row>
    <row r="31" spans="1:22" x14ac:dyDescent="0.35">
      <c r="A31" s="4">
        <v>28</v>
      </c>
      <c r="B31" t="s">
        <v>7</v>
      </c>
    </row>
    <row r="32" spans="1:22" x14ac:dyDescent="0.35">
      <c r="A32" s="4">
        <v>29</v>
      </c>
      <c r="B32" t="s">
        <v>7</v>
      </c>
    </row>
    <row r="33" spans="1:2" x14ac:dyDescent="0.35">
      <c r="A33" s="4">
        <v>30</v>
      </c>
      <c r="B33" t="s">
        <v>7</v>
      </c>
    </row>
    <row r="34" spans="1:2" x14ac:dyDescent="0.35">
      <c r="A34" s="4">
        <v>31</v>
      </c>
      <c r="B34" t="s">
        <v>7</v>
      </c>
    </row>
    <row r="35" spans="1:2" x14ac:dyDescent="0.35">
      <c r="A35" s="4">
        <v>32</v>
      </c>
      <c r="B35" t="s">
        <v>7</v>
      </c>
    </row>
    <row r="36" spans="1:2" x14ac:dyDescent="0.35">
      <c r="A36">
        <v>33</v>
      </c>
      <c r="B36" t="s">
        <v>7</v>
      </c>
    </row>
    <row r="37" spans="1:2" x14ac:dyDescent="0.35">
      <c r="A37">
        <v>34</v>
      </c>
      <c r="B37" t="s">
        <v>7</v>
      </c>
    </row>
    <row r="38" spans="1:2" x14ac:dyDescent="0.35">
      <c r="A38">
        <v>35</v>
      </c>
      <c r="B38" t="s">
        <v>7</v>
      </c>
    </row>
    <row r="39" spans="1:2" x14ac:dyDescent="0.35">
      <c r="A39">
        <v>36</v>
      </c>
      <c r="B39" t="s">
        <v>7</v>
      </c>
    </row>
    <row r="40" spans="1:2" x14ac:dyDescent="0.35">
      <c r="A40">
        <v>37</v>
      </c>
      <c r="B40" t="s">
        <v>7</v>
      </c>
    </row>
    <row r="41" spans="1:2" x14ac:dyDescent="0.35">
      <c r="A41">
        <v>38</v>
      </c>
      <c r="B41" t="s">
        <v>8</v>
      </c>
    </row>
    <row r="42" spans="1:2" x14ac:dyDescent="0.35">
      <c r="A42">
        <v>39</v>
      </c>
      <c r="B42" t="s">
        <v>8</v>
      </c>
    </row>
    <row r="43" spans="1:2" x14ac:dyDescent="0.35">
      <c r="A43">
        <v>40</v>
      </c>
      <c r="B43" t="s">
        <v>8</v>
      </c>
    </row>
    <row r="44" spans="1:2" x14ac:dyDescent="0.35">
      <c r="A44">
        <v>41</v>
      </c>
      <c r="B44" t="s">
        <v>8</v>
      </c>
    </row>
    <row r="45" spans="1:2" x14ac:dyDescent="0.35">
      <c r="A45">
        <v>42</v>
      </c>
      <c r="B45" t="s">
        <v>8</v>
      </c>
    </row>
    <row r="46" spans="1:2" x14ac:dyDescent="0.35">
      <c r="A46">
        <v>43</v>
      </c>
      <c r="B46" t="s">
        <v>8</v>
      </c>
    </row>
    <row r="47" spans="1:2" x14ac:dyDescent="0.35">
      <c r="A47">
        <v>44</v>
      </c>
      <c r="B47" t="s">
        <v>9</v>
      </c>
    </row>
    <row r="48" spans="1:2" x14ac:dyDescent="0.35">
      <c r="A48">
        <v>45</v>
      </c>
      <c r="B48" t="s">
        <v>9</v>
      </c>
    </row>
    <row r="49" spans="1:2" x14ac:dyDescent="0.35">
      <c r="A49">
        <v>46</v>
      </c>
      <c r="B49" t="s">
        <v>9</v>
      </c>
    </row>
    <row r="50" spans="1:2" x14ac:dyDescent="0.35">
      <c r="A50">
        <v>47</v>
      </c>
      <c r="B50" t="s">
        <v>9</v>
      </c>
    </row>
    <row r="51" spans="1:2" x14ac:dyDescent="0.35">
      <c r="A51">
        <v>48</v>
      </c>
      <c r="B51" t="s">
        <v>9</v>
      </c>
    </row>
    <row r="52" spans="1:2" x14ac:dyDescent="0.35">
      <c r="A52">
        <v>49</v>
      </c>
      <c r="B52" t="s">
        <v>9</v>
      </c>
    </row>
    <row r="53" spans="1:2" x14ac:dyDescent="0.35">
      <c r="A53">
        <v>50</v>
      </c>
      <c r="B53" t="s">
        <v>10</v>
      </c>
    </row>
    <row r="54" spans="1:2" x14ac:dyDescent="0.35">
      <c r="A54">
        <v>51</v>
      </c>
      <c r="B54" t="s">
        <v>10</v>
      </c>
    </row>
    <row r="55" spans="1:2" x14ac:dyDescent="0.35">
      <c r="A55">
        <v>52</v>
      </c>
      <c r="B55" t="s">
        <v>10</v>
      </c>
    </row>
    <row r="56" spans="1:2" x14ac:dyDescent="0.35">
      <c r="A56">
        <v>53</v>
      </c>
      <c r="B56" t="s">
        <v>10</v>
      </c>
    </row>
    <row r="57" spans="1:2" x14ac:dyDescent="0.35">
      <c r="A57">
        <v>54</v>
      </c>
      <c r="B57" t="s">
        <v>10</v>
      </c>
    </row>
    <row r="58" spans="1:2" x14ac:dyDescent="0.35">
      <c r="A58">
        <v>55</v>
      </c>
      <c r="B58" t="s">
        <v>10</v>
      </c>
    </row>
    <row r="59" spans="1:2" x14ac:dyDescent="0.35">
      <c r="A59">
        <v>56</v>
      </c>
      <c r="B59" t="s">
        <v>11</v>
      </c>
    </row>
    <row r="60" spans="1:2" x14ac:dyDescent="0.35">
      <c r="A60">
        <v>57</v>
      </c>
      <c r="B60" t="s">
        <v>11</v>
      </c>
    </row>
    <row r="61" spans="1:2" x14ac:dyDescent="0.35">
      <c r="A61">
        <v>58</v>
      </c>
      <c r="B61" t="s">
        <v>11</v>
      </c>
    </row>
    <row r="62" spans="1:2" x14ac:dyDescent="0.35">
      <c r="A62">
        <v>59</v>
      </c>
      <c r="B62" t="s">
        <v>11</v>
      </c>
    </row>
    <row r="63" spans="1:2" x14ac:dyDescent="0.35">
      <c r="A63">
        <v>60</v>
      </c>
      <c r="B63" t="s">
        <v>11</v>
      </c>
    </row>
    <row r="64" spans="1:2" x14ac:dyDescent="0.35">
      <c r="A64">
        <v>61</v>
      </c>
      <c r="B64" t="s">
        <v>12</v>
      </c>
    </row>
    <row r="65" spans="1:2" x14ac:dyDescent="0.35">
      <c r="A65">
        <v>62</v>
      </c>
      <c r="B65" t="s">
        <v>12</v>
      </c>
    </row>
    <row r="66" spans="1:2" x14ac:dyDescent="0.35">
      <c r="A66">
        <v>63</v>
      </c>
      <c r="B66" t="s">
        <v>12</v>
      </c>
    </row>
    <row r="67" spans="1:2" x14ac:dyDescent="0.35">
      <c r="A67">
        <v>64</v>
      </c>
      <c r="B67" t="s">
        <v>12</v>
      </c>
    </row>
    <row r="68" spans="1:2" x14ac:dyDescent="0.35">
      <c r="A68">
        <v>65</v>
      </c>
      <c r="B68" t="s">
        <v>13</v>
      </c>
    </row>
    <row r="69" spans="1:2" x14ac:dyDescent="0.35">
      <c r="A69">
        <v>66</v>
      </c>
      <c r="B69" t="s">
        <v>13</v>
      </c>
    </row>
    <row r="70" spans="1:2" x14ac:dyDescent="0.35">
      <c r="A70">
        <v>67</v>
      </c>
      <c r="B70" t="s">
        <v>13</v>
      </c>
    </row>
    <row r="71" spans="1:2" x14ac:dyDescent="0.35">
      <c r="A71">
        <v>68</v>
      </c>
      <c r="B71" t="s">
        <v>13</v>
      </c>
    </row>
    <row r="72" spans="1:2" x14ac:dyDescent="0.35">
      <c r="A72">
        <v>69</v>
      </c>
      <c r="B72" t="s">
        <v>14</v>
      </c>
    </row>
    <row r="73" spans="1:2" x14ac:dyDescent="0.35">
      <c r="A73">
        <v>70</v>
      </c>
      <c r="B73" t="s">
        <v>14</v>
      </c>
    </row>
    <row r="74" spans="1:2" x14ac:dyDescent="0.35">
      <c r="A74">
        <v>71</v>
      </c>
      <c r="B74" t="s">
        <v>14</v>
      </c>
    </row>
    <row r="75" spans="1:2" x14ac:dyDescent="0.35">
      <c r="A75">
        <v>72</v>
      </c>
      <c r="B75" t="s">
        <v>14</v>
      </c>
    </row>
    <row r="76" spans="1:2" x14ac:dyDescent="0.35">
      <c r="A76">
        <v>73</v>
      </c>
      <c r="B76" t="s">
        <v>15</v>
      </c>
    </row>
    <row r="77" spans="1:2" x14ac:dyDescent="0.35">
      <c r="A77">
        <v>74</v>
      </c>
      <c r="B77" t="s">
        <v>15</v>
      </c>
    </row>
    <row r="78" spans="1:2" x14ac:dyDescent="0.35">
      <c r="A78">
        <v>75</v>
      </c>
      <c r="B78" t="s">
        <v>16</v>
      </c>
    </row>
    <row r="79" spans="1:2" x14ac:dyDescent="0.35">
      <c r="A79">
        <v>76</v>
      </c>
      <c r="B79" t="s">
        <v>16</v>
      </c>
    </row>
    <row r="80" spans="1:2" x14ac:dyDescent="0.35">
      <c r="A80">
        <v>77</v>
      </c>
    </row>
    <row r="81" spans="1:1" x14ac:dyDescent="0.35">
      <c r="A81">
        <v>78</v>
      </c>
    </row>
    <row r="82" spans="1:1" x14ac:dyDescent="0.35">
      <c r="A82">
        <v>79</v>
      </c>
    </row>
  </sheetData>
  <conditionalFormatting sqref="O3:R23">
    <cfRule type="duplicateValues" dxfId="253" priority="3"/>
  </conditionalFormatting>
  <conditionalFormatting sqref="S3:V23">
    <cfRule type="duplicateValues" dxfId="252" priority="2"/>
  </conditionalFormatting>
  <conditionalFormatting sqref="K3:N22">
    <cfRule type="duplicateValues" dxfId="251" priority="5"/>
  </conditionalFormatting>
  <conditionalFormatting sqref="G3:J23">
    <cfRule type="duplicateValues" dxfId="250" priority="1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82"/>
  <sheetViews>
    <sheetView topLeftCell="O1" workbookViewId="0">
      <selection activeCell="AJ18" sqref="AJ18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2</v>
      </c>
      <c r="C1">
        <f>FLOOR(2*$B$2/32,1)</f>
        <v>4</v>
      </c>
      <c r="D1">
        <f>FLOOR(3*$B$2/32,1)</f>
        <v>6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7</v>
      </c>
      <c r="AF1" s="9">
        <v>7</v>
      </c>
      <c r="AG1" s="9">
        <v>7</v>
      </c>
      <c r="AH1" s="10">
        <v>7</v>
      </c>
      <c r="AI1">
        <v>9</v>
      </c>
      <c r="AJ1">
        <v>9</v>
      </c>
      <c r="AK1">
        <v>9</v>
      </c>
      <c r="AL1">
        <v>9</v>
      </c>
    </row>
    <row r="2" spans="1:38" ht="15" thickBot="1" x14ac:dyDescent="0.4">
      <c r="A2">
        <f>CEILING(COUNTA(B3:B83)/4,1)*4</f>
        <v>80</v>
      </c>
      <c r="B2">
        <v>72</v>
      </c>
      <c r="C2">
        <v>4</v>
      </c>
      <c r="D2">
        <v>8</v>
      </c>
      <c r="E2">
        <v>12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8" si="0">MOD($A3-G$1*G$2,$B$2/4)+G$2*$B$2/4+1</f>
        <v>1</v>
      </c>
      <c r="H3" s="64">
        <f t="shared" si="0"/>
        <v>19</v>
      </c>
      <c r="I3" s="64">
        <f t="shared" si="0"/>
        <v>37</v>
      </c>
      <c r="J3" s="65">
        <f t="shared" si="0"/>
        <v>55</v>
      </c>
      <c r="K3" s="63">
        <f t="shared" si="0"/>
        <v>1</v>
      </c>
      <c r="L3" s="64">
        <f t="shared" si="0"/>
        <v>35</v>
      </c>
      <c r="M3" s="64">
        <f t="shared" si="0"/>
        <v>51</v>
      </c>
      <c r="N3" s="65">
        <f t="shared" si="0"/>
        <v>67</v>
      </c>
      <c r="O3" s="63">
        <f t="shared" si="0"/>
        <v>1</v>
      </c>
      <c r="P3" s="64">
        <f t="shared" si="0"/>
        <v>33</v>
      </c>
      <c r="Q3" s="64">
        <f t="shared" si="0"/>
        <v>47</v>
      </c>
      <c r="R3" s="65">
        <f t="shared" si="0"/>
        <v>61</v>
      </c>
      <c r="S3" s="63">
        <f t="shared" si="0"/>
        <v>1</v>
      </c>
      <c r="T3" s="64">
        <f t="shared" si="0"/>
        <v>31</v>
      </c>
      <c r="U3" s="64">
        <f t="shared" si="0"/>
        <v>43</v>
      </c>
      <c r="V3" s="65">
        <f t="shared" si="0"/>
        <v>55</v>
      </c>
      <c r="W3" s="46">
        <f t="shared" ref="W3:AL18" si="1">MOD(MOD($A3-W$1*W$2,$B$2/4)+W$2*$B$2/4+ROUND($B$2/8,0),$B$2)+1</f>
        <v>10</v>
      </c>
      <c r="X3" s="46">
        <f t="shared" si="1"/>
        <v>45</v>
      </c>
      <c r="Y3" s="46">
        <f t="shared" si="1"/>
        <v>62</v>
      </c>
      <c r="Z3" s="46">
        <f t="shared" si="1"/>
        <v>7</v>
      </c>
      <c r="AA3" s="46">
        <f t="shared" si="1"/>
        <v>10</v>
      </c>
      <c r="AB3" s="46">
        <f t="shared" si="1"/>
        <v>43</v>
      </c>
      <c r="AC3" s="46">
        <f t="shared" si="1"/>
        <v>58</v>
      </c>
      <c r="AD3" s="46">
        <f t="shared" si="1"/>
        <v>1</v>
      </c>
      <c r="AE3" s="46">
        <f t="shared" si="1"/>
        <v>10</v>
      </c>
      <c r="AF3" s="46">
        <f t="shared" si="1"/>
        <v>39</v>
      </c>
      <c r="AG3" s="46">
        <f t="shared" si="1"/>
        <v>50</v>
      </c>
      <c r="AH3" s="46">
        <f t="shared" si="1"/>
        <v>7</v>
      </c>
      <c r="AI3" s="46">
        <f t="shared" si="1"/>
        <v>10</v>
      </c>
      <c r="AJ3" s="46">
        <f t="shared" si="1"/>
        <v>37</v>
      </c>
      <c r="AK3" s="46">
        <f t="shared" si="1"/>
        <v>46</v>
      </c>
      <c r="AL3" s="46">
        <f t="shared" si="1"/>
        <v>1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20</v>
      </c>
      <c r="I4" s="40">
        <f t="shared" si="0"/>
        <v>38</v>
      </c>
      <c r="J4" s="66">
        <f t="shared" si="0"/>
        <v>56</v>
      </c>
      <c r="K4" s="43">
        <f t="shared" si="0"/>
        <v>2</v>
      </c>
      <c r="L4" s="40">
        <f t="shared" si="0"/>
        <v>36</v>
      </c>
      <c r="M4" s="40">
        <f t="shared" si="0"/>
        <v>52</v>
      </c>
      <c r="N4" s="66">
        <f t="shared" si="0"/>
        <v>68</v>
      </c>
      <c r="O4" s="43">
        <f t="shared" si="0"/>
        <v>2</v>
      </c>
      <c r="P4" s="40">
        <f t="shared" si="0"/>
        <v>34</v>
      </c>
      <c r="Q4" s="40">
        <f t="shared" si="0"/>
        <v>48</v>
      </c>
      <c r="R4" s="66">
        <f t="shared" si="0"/>
        <v>62</v>
      </c>
      <c r="S4" s="43">
        <f t="shared" si="0"/>
        <v>2</v>
      </c>
      <c r="T4" s="40">
        <f t="shared" si="0"/>
        <v>32</v>
      </c>
      <c r="U4" s="40">
        <f t="shared" si="0"/>
        <v>44</v>
      </c>
      <c r="V4" s="66">
        <f t="shared" si="0"/>
        <v>56</v>
      </c>
      <c r="W4" s="46">
        <f t="shared" si="1"/>
        <v>11</v>
      </c>
      <c r="X4" s="46">
        <f t="shared" si="1"/>
        <v>28</v>
      </c>
      <c r="Y4" s="46">
        <f t="shared" si="1"/>
        <v>63</v>
      </c>
      <c r="Z4" s="46">
        <f t="shared" si="1"/>
        <v>8</v>
      </c>
      <c r="AA4" s="46">
        <f t="shared" si="1"/>
        <v>11</v>
      </c>
      <c r="AB4" s="46">
        <f t="shared" si="1"/>
        <v>44</v>
      </c>
      <c r="AC4" s="46">
        <f t="shared" si="1"/>
        <v>59</v>
      </c>
      <c r="AD4" s="46">
        <f t="shared" si="1"/>
        <v>2</v>
      </c>
      <c r="AE4" s="46">
        <f t="shared" si="1"/>
        <v>11</v>
      </c>
      <c r="AF4" s="46">
        <f t="shared" si="1"/>
        <v>40</v>
      </c>
      <c r="AG4" s="46">
        <f t="shared" si="1"/>
        <v>51</v>
      </c>
      <c r="AH4" s="46">
        <f t="shared" si="1"/>
        <v>8</v>
      </c>
      <c r="AI4" s="46">
        <f t="shared" si="1"/>
        <v>11</v>
      </c>
      <c r="AJ4" s="46">
        <f t="shared" si="1"/>
        <v>38</v>
      </c>
      <c r="AK4" s="46">
        <f t="shared" si="1"/>
        <v>47</v>
      </c>
      <c r="AL4" s="46">
        <f t="shared" si="1"/>
        <v>2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21</v>
      </c>
      <c r="I5" s="40">
        <f t="shared" si="0"/>
        <v>39</v>
      </c>
      <c r="J5" s="66">
        <f t="shared" si="0"/>
        <v>57</v>
      </c>
      <c r="K5" s="43">
        <f t="shared" si="0"/>
        <v>3</v>
      </c>
      <c r="L5" s="40">
        <f t="shared" si="0"/>
        <v>19</v>
      </c>
      <c r="M5" s="40">
        <f t="shared" si="0"/>
        <v>53</v>
      </c>
      <c r="N5" s="66">
        <f t="shared" si="0"/>
        <v>69</v>
      </c>
      <c r="O5" s="43">
        <f t="shared" si="0"/>
        <v>3</v>
      </c>
      <c r="P5" s="40">
        <f t="shared" si="0"/>
        <v>35</v>
      </c>
      <c r="Q5" s="40">
        <f t="shared" si="0"/>
        <v>49</v>
      </c>
      <c r="R5" s="66">
        <f t="shared" si="0"/>
        <v>63</v>
      </c>
      <c r="S5" s="43">
        <f t="shared" si="0"/>
        <v>3</v>
      </c>
      <c r="T5" s="40">
        <f t="shared" si="0"/>
        <v>33</v>
      </c>
      <c r="U5" s="40">
        <f t="shared" si="0"/>
        <v>45</v>
      </c>
      <c r="V5" s="66">
        <f t="shared" si="0"/>
        <v>57</v>
      </c>
      <c r="W5" s="46">
        <f t="shared" si="1"/>
        <v>12</v>
      </c>
      <c r="X5" s="46">
        <f t="shared" si="1"/>
        <v>29</v>
      </c>
      <c r="Y5" s="46">
        <f t="shared" si="1"/>
        <v>46</v>
      </c>
      <c r="Z5" s="46">
        <f t="shared" si="1"/>
        <v>9</v>
      </c>
      <c r="AA5" s="46">
        <f t="shared" si="1"/>
        <v>12</v>
      </c>
      <c r="AB5" s="46">
        <f t="shared" si="1"/>
        <v>45</v>
      </c>
      <c r="AC5" s="46">
        <f t="shared" si="1"/>
        <v>60</v>
      </c>
      <c r="AD5" s="46">
        <f t="shared" si="1"/>
        <v>3</v>
      </c>
      <c r="AE5" s="46">
        <f t="shared" si="1"/>
        <v>12</v>
      </c>
      <c r="AF5" s="46">
        <f t="shared" si="1"/>
        <v>41</v>
      </c>
      <c r="AG5" s="46">
        <f t="shared" si="1"/>
        <v>52</v>
      </c>
      <c r="AH5" s="46">
        <f t="shared" si="1"/>
        <v>9</v>
      </c>
      <c r="AI5" s="46">
        <f t="shared" si="1"/>
        <v>12</v>
      </c>
      <c r="AJ5" s="46">
        <f t="shared" si="1"/>
        <v>39</v>
      </c>
      <c r="AK5" s="46">
        <f t="shared" si="1"/>
        <v>48</v>
      </c>
      <c r="AL5" s="46">
        <f t="shared" si="1"/>
        <v>3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22</v>
      </c>
      <c r="I6" s="40">
        <f t="shared" si="0"/>
        <v>40</v>
      </c>
      <c r="J6" s="66">
        <f t="shared" si="0"/>
        <v>58</v>
      </c>
      <c r="K6" s="43">
        <f t="shared" si="0"/>
        <v>4</v>
      </c>
      <c r="L6" s="40">
        <f t="shared" si="0"/>
        <v>20</v>
      </c>
      <c r="M6" s="40">
        <f t="shared" si="0"/>
        <v>54</v>
      </c>
      <c r="N6" s="66">
        <f t="shared" si="0"/>
        <v>70</v>
      </c>
      <c r="O6" s="43">
        <f t="shared" si="0"/>
        <v>4</v>
      </c>
      <c r="P6" s="40">
        <f t="shared" si="0"/>
        <v>36</v>
      </c>
      <c r="Q6" s="40">
        <f t="shared" si="0"/>
        <v>50</v>
      </c>
      <c r="R6" s="66">
        <f t="shared" si="0"/>
        <v>64</v>
      </c>
      <c r="S6" s="43">
        <f t="shared" si="0"/>
        <v>4</v>
      </c>
      <c r="T6" s="40">
        <f t="shared" si="0"/>
        <v>34</v>
      </c>
      <c r="U6" s="40">
        <f t="shared" si="0"/>
        <v>46</v>
      </c>
      <c r="V6" s="66">
        <f t="shared" si="0"/>
        <v>58</v>
      </c>
      <c r="W6" s="46">
        <f t="shared" si="1"/>
        <v>13</v>
      </c>
      <c r="X6" s="46">
        <f t="shared" si="1"/>
        <v>30</v>
      </c>
      <c r="Y6" s="46">
        <f t="shared" si="1"/>
        <v>47</v>
      </c>
      <c r="Z6" s="46">
        <f t="shared" si="1"/>
        <v>64</v>
      </c>
      <c r="AA6" s="46">
        <f t="shared" si="1"/>
        <v>13</v>
      </c>
      <c r="AB6" s="46">
        <f t="shared" si="1"/>
        <v>28</v>
      </c>
      <c r="AC6" s="46">
        <f t="shared" si="1"/>
        <v>61</v>
      </c>
      <c r="AD6" s="46">
        <f t="shared" si="1"/>
        <v>4</v>
      </c>
      <c r="AE6" s="46">
        <f t="shared" si="1"/>
        <v>13</v>
      </c>
      <c r="AF6" s="46">
        <f t="shared" si="1"/>
        <v>42</v>
      </c>
      <c r="AG6" s="46">
        <f t="shared" si="1"/>
        <v>53</v>
      </c>
      <c r="AH6" s="46">
        <f t="shared" si="1"/>
        <v>64</v>
      </c>
      <c r="AI6" s="46">
        <f t="shared" si="1"/>
        <v>13</v>
      </c>
      <c r="AJ6" s="46">
        <f t="shared" si="1"/>
        <v>40</v>
      </c>
      <c r="AK6" s="46">
        <f t="shared" si="1"/>
        <v>49</v>
      </c>
      <c r="AL6" s="46">
        <f t="shared" si="1"/>
        <v>4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23</v>
      </c>
      <c r="I7" s="40">
        <f t="shared" si="0"/>
        <v>41</v>
      </c>
      <c r="J7" s="66">
        <f t="shared" si="0"/>
        <v>59</v>
      </c>
      <c r="K7" s="43">
        <f t="shared" si="0"/>
        <v>5</v>
      </c>
      <c r="L7" s="40">
        <f t="shared" si="0"/>
        <v>21</v>
      </c>
      <c r="M7" s="40">
        <f t="shared" si="0"/>
        <v>37</v>
      </c>
      <c r="N7" s="66">
        <f t="shared" si="0"/>
        <v>71</v>
      </c>
      <c r="O7" s="43">
        <f t="shared" si="0"/>
        <v>5</v>
      </c>
      <c r="P7" s="40">
        <f t="shared" si="0"/>
        <v>19</v>
      </c>
      <c r="Q7" s="40">
        <f t="shared" si="0"/>
        <v>51</v>
      </c>
      <c r="R7" s="66">
        <f t="shared" si="0"/>
        <v>65</v>
      </c>
      <c r="S7" s="43">
        <f t="shared" si="0"/>
        <v>5</v>
      </c>
      <c r="T7" s="40">
        <f t="shared" si="0"/>
        <v>35</v>
      </c>
      <c r="U7" s="40">
        <f t="shared" si="0"/>
        <v>47</v>
      </c>
      <c r="V7" s="66">
        <f t="shared" si="0"/>
        <v>59</v>
      </c>
      <c r="W7" s="46">
        <f t="shared" si="1"/>
        <v>14</v>
      </c>
      <c r="X7" s="46">
        <f t="shared" si="1"/>
        <v>31</v>
      </c>
      <c r="Y7" s="46">
        <f t="shared" si="1"/>
        <v>48</v>
      </c>
      <c r="Z7" s="46">
        <f t="shared" si="1"/>
        <v>65</v>
      </c>
      <c r="AA7" s="46">
        <f t="shared" si="1"/>
        <v>14</v>
      </c>
      <c r="AB7" s="46">
        <f t="shared" si="1"/>
        <v>29</v>
      </c>
      <c r="AC7" s="46">
        <f t="shared" si="1"/>
        <v>62</v>
      </c>
      <c r="AD7" s="46">
        <f t="shared" si="1"/>
        <v>5</v>
      </c>
      <c r="AE7" s="46">
        <f t="shared" si="1"/>
        <v>14</v>
      </c>
      <c r="AF7" s="46">
        <f t="shared" si="1"/>
        <v>43</v>
      </c>
      <c r="AG7" s="46">
        <f t="shared" si="1"/>
        <v>54</v>
      </c>
      <c r="AH7" s="46">
        <f t="shared" si="1"/>
        <v>65</v>
      </c>
      <c r="AI7" s="46">
        <f t="shared" si="1"/>
        <v>14</v>
      </c>
      <c r="AJ7" s="46">
        <f t="shared" si="1"/>
        <v>41</v>
      </c>
      <c r="AK7" s="46">
        <f t="shared" si="1"/>
        <v>50</v>
      </c>
      <c r="AL7" s="46">
        <f t="shared" si="1"/>
        <v>5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24</v>
      </c>
      <c r="I8" s="40">
        <f t="shared" si="0"/>
        <v>42</v>
      </c>
      <c r="J8" s="66">
        <f t="shared" si="0"/>
        <v>60</v>
      </c>
      <c r="K8" s="43">
        <f t="shared" si="0"/>
        <v>6</v>
      </c>
      <c r="L8" s="40">
        <f t="shared" si="0"/>
        <v>22</v>
      </c>
      <c r="M8" s="40">
        <f t="shared" si="0"/>
        <v>38</v>
      </c>
      <c r="N8" s="66">
        <f t="shared" si="0"/>
        <v>72</v>
      </c>
      <c r="O8" s="43">
        <f t="shared" si="0"/>
        <v>6</v>
      </c>
      <c r="P8" s="40">
        <f t="shared" si="0"/>
        <v>20</v>
      </c>
      <c r="Q8" s="40">
        <f t="shared" si="0"/>
        <v>52</v>
      </c>
      <c r="R8" s="66">
        <f t="shared" si="0"/>
        <v>66</v>
      </c>
      <c r="S8" s="43">
        <f t="shared" si="0"/>
        <v>6</v>
      </c>
      <c r="T8" s="40">
        <f t="shared" si="0"/>
        <v>36</v>
      </c>
      <c r="U8" s="40">
        <f t="shared" si="0"/>
        <v>48</v>
      </c>
      <c r="V8" s="66">
        <f t="shared" si="0"/>
        <v>60</v>
      </c>
      <c r="W8" s="46">
        <f t="shared" si="1"/>
        <v>15</v>
      </c>
      <c r="X8" s="46">
        <f t="shared" si="1"/>
        <v>32</v>
      </c>
      <c r="Y8" s="46">
        <f t="shared" si="1"/>
        <v>49</v>
      </c>
      <c r="Z8" s="46">
        <f t="shared" si="1"/>
        <v>66</v>
      </c>
      <c r="AA8" s="46">
        <f t="shared" si="1"/>
        <v>15</v>
      </c>
      <c r="AB8" s="46">
        <f t="shared" si="1"/>
        <v>30</v>
      </c>
      <c r="AC8" s="46">
        <f t="shared" si="1"/>
        <v>63</v>
      </c>
      <c r="AD8" s="46">
        <f t="shared" si="1"/>
        <v>6</v>
      </c>
      <c r="AE8" s="46">
        <f t="shared" si="1"/>
        <v>15</v>
      </c>
      <c r="AF8" s="46">
        <f t="shared" si="1"/>
        <v>44</v>
      </c>
      <c r="AG8" s="46">
        <f t="shared" si="1"/>
        <v>55</v>
      </c>
      <c r="AH8" s="46">
        <f t="shared" si="1"/>
        <v>66</v>
      </c>
      <c r="AI8" s="46">
        <f t="shared" si="1"/>
        <v>15</v>
      </c>
      <c r="AJ8" s="46">
        <f t="shared" si="1"/>
        <v>42</v>
      </c>
      <c r="AK8" s="46">
        <f t="shared" si="1"/>
        <v>51</v>
      </c>
      <c r="AL8" s="46">
        <f t="shared" si="1"/>
        <v>6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25</v>
      </c>
      <c r="I9" s="40">
        <f t="shared" si="0"/>
        <v>43</v>
      </c>
      <c r="J9" s="66">
        <f t="shared" si="0"/>
        <v>61</v>
      </c>
      <c r="K9" s="43">
        <f t="shared" si="0"/>
        <v>7</v>
      </c>
      <c r="L9" s="40">
        <f t="shared" si="0"/>
        <v>23</v>
      </c>
      <c r="M9" s="40">
        <f t="shared" si="0"/>
        <v>39</v>
      </c>
      <c r="N9" s="66">
        <f t="shared" si="0"/>
        <v>55</v>
      </c>
      <c r="O9" s="43">
        <f t="shared" si="0"/>
        <v>7</v>
      </c>
      <c r="P9" s="40">
        <f t="shared" si="0"/>
        <v>21</v>
      </c>
      <c r="Q9" s="40">
        <f t="shared" si="0"/>
        <v>53</v>
      </c>
      <c r="R9" s="66">
        <f t="shared" si="0"/>
        <v>67</v>
      </c>
      <c r="S9" s="43">
        <f t="shared" si="0"/>
        <v>7</v>
      </c>
      <c r="T9" s="40">
        <f t="shared" si="0"/>
        <v>19</v>
      </c>
      <c r="U9" s="40">
        <f t="shared" si="0"/>
        <v>49</v>
      </c>
      <c r="V9" s="66">
        <f t="shared" si="0"/>
        <v>61</v>
      </c>
      <c r="W9" s="46">
        <f t="shared" si="1"/>
        <v>16</v>
      </c>
      <c r="X9" s="46">
        <f t="shared" si="1"/>
        <v>33</v>
      </c>
      <c r="Y9" s="46">
        <f t="shared" si="1"/>
        <v>50</v>
      </c>
      <c r="Z9" s="46">
        <f t="shared" si="1"/>
        <v>67</v>
      </c>
      <c r="AA9" s="46">
        <f t="shared" si="1"/>
        <v>16</v>
      </c>
      <c r="AB9" s="46">
        <f t="shared" si="1"/>
        <v>31</v>
      </c>
      <c r="AC9" s="46">
        <f t="shared" si="1"/>
        <v>46</v>
      </c>
      <c r="AD9" s="46">
        <f t="shared" si="1"/>
        <v>7</v>
      </c>
      <c r="AE9" s="46">
        <f t="shared" si="1"/>
        <v>16</v>
      </c>
      <c r="AF9" s="46">
        <f t="shared" si="1"/>
        <v>45</v>
      </c>
      <c r="AG9" s="46">
        <f t="shared" si="1"/>
        <v>56</v>
      </c>
      <c r="AH9" s="46">
        <f t="shared" si="1"/>
        <v>67</v>
      </c>
      <c r="AI9" s="46">
        <f t="shared" si="1"/>
        <v>16</v>
      </c>
      <c r="AJ9" s="46">
        <f t="shared" si="1"/>
        <v>43</v>
      </c>
      <c r="AK9" s="46">
        <f t="shared" si="1"/>
        <v>52</v>
      </c>
      <c r="AL9" s="46">
        <f t="shared" si="1"/>
        <v>7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26</v>
      </c>
      <c r="I10" s="40">
        <f t="shared" si="0"/>
        <v>44</v>
      </c>
      <c r="J10" s="66">
        <f t="shared" si="0"/>
        <v>62</v>
      </c>
      <c r="K10" s="43">
        <f t="shared" si="0"/>
        <v>8</v>
      </c>
      <c r="L10" s="40">
        <f t="shared" si="0"/>
        <v>24</v>
      </c>
      <c r="M10" s="40">
        <f t="shared" si="0"/>
        <v>40</v>
      </c>
      <c r="N10" s="66">
        <f t="shared" si="0"/>
        <v>56</v>
      </c>
      <c r="O10" s="43">
        <f t="shared" si="0"/>
        <v>8</v>
      </c>
      <c r="P10" s="40">
        <f t="shared" si="0"/>
        <v>22</v>
      </c>
      <c r="Q10" s="40">
        <f t="shared" si="0"/>
        <v>54</v>
      </c>
      <c r="R10" s="66">
        <f t="shared" si="0"/>
        <v>68</v>
      </c>
      <c r="S10" s="43">
        <f t="shared" si="0"/>
        <v>8</v>
      </c>
      <c r="T10" s="40">
        <f t="shared" si="0"/>
        <v>20</v>
      </c>
      <c r="U10" s="40">
        <f t="shared" si="0"/>
        <v>50</v>
      </c>
      <c r="V10" s="66">
        <f t="shared" si="0"/>
        <v>62</v>
      </c>
      <c r="W10" s="46">
        <f t="shared" si="1"/>
        <v>17</v>
      </c>
      <c r="X10" s="46">
        <f t="shared" si="1"/>
        <v>34</v>
      </c>
      <c r="Y10" s="46">
        <f t="shared" si="1"/>
        <v>51</v>
      </c>
      <c r="Z10" s="46">
        <f t="shared" si="1"/>
        <v>68</v>
      </c>
      <c r="AA10" s="46">
        <f t="shared" si="1"/>
        <v>17</v>
      </c>
      <c r="AB10" s="46">
        <f t="shared" si="1"/>
        <v>32</v>
      </c>
      <c r="AC10" s="46">
        <f t="shared" si="1"/>
        <v>47</v>
      </c>
      <c r="AD10" s="46">
        <f t="shared" si="1"/>
        <v>8</v>
      </c>
      <c r="AE10" s="46">
        <f t="shared" si="1"/>
        <v>17</v>
      </c>
      <c r="AF10" s="46">
        <f t="shared" si="1"/>
        <v>28</v>
      </c>
      <c r="AG10" s="46">
        <f t="shared" si="1"/>
        <v>57</v>
      </c>
      <c r="AH10" s="46">
        <f t="shared" si="1"/>
        <v>68</v>
      </c>
      <c r="AI10" s="46">
        <f t="shared" si="1"/>
        <v>17</v>
      </c>
      <c r="AJ10" s="46">
        <f t="shared" si="1"/>
        <v>44</v>
      </c>
      <c r="AK10" s="46">
        <f t="shared" si="1"/>
        <v>53</v>
      </c>
      <c r="AL10" s="46">
        <f t="shared" si="1"/>
        <v>8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27</v>
      </c>
      <c r="I11" s="40">
        <f t="shared" si="0"/>
        <v>45</v>
      </c>
      <c r="J11" s="66">
        <f t="shared" si="0"/>
        <v>63</v>
      </c>
      <c r="K11" s="43">
        <f t="shared" si="0"/>
        <v>9</v>
      </c>
      <c r="L11" s="40">
        <f t="shared" si="0"/>
        <v>25</v>
      </c>
      <c r="M11" s="40">
        <f t="shared" si="0"/>
        <v>41</v>
      </c>
      <c r="N11" s="66">
        <f t="shared" si="0"/>
        <v>57</v>
      </c>
      <c r="O11" s="43">
        <f t="shared" si="0"/>
        <v>9</v>
      </c>
      <c r="P11" s="40">
        <f t="shared" si="0"/>
        <v>23</v>
      </c>
      <c r="Q11" s="40">
        <f t="shared" si="0"/>
        <v>37</v>
      </c>
      <c r="R11" s="66">
        <f t="shared" si="0"/>
        <v>69</v>
      </c>
      <c r="S11" s="43">
        <f t="shared" si="0"/>
        <v>9</v>
      </c>
      <c r="T11" s="40">
        <f t="shared" si="0"/>
        <v>21</v>
      </c>
      <c r="U11" s="40">
        <f t="shared" si="0"/>
        <v>51</v>
      </c>
      <c r="V11" s="66">
        <f t="shared" si="0"/>
        <v>63</v>
      </c>
      <c r="W11" s="46">
        <f t="shared" si="1"/>
        <v>18</v>
      </c>
      <c r="X11" s="46">
        <f t="shared" si="1"/>
        <v>35</v>
      </c>
      <c r="Y11" s="46">
        <f t="shared" si="1"/>
        <v>52</v>
      </c>
      <c r="Z11" s="46">
        <f t="shared" si="1"/>
        <v>69</v>
      </c>
      <c r="AA11" s="46">
        <f t="shared" si="1"/>
        <v>18</v>
      </c>
      <c r="AB11" s="46">
        <f t="shared" si="1"/>
        <v>33</v>
      </c>
      <c r="AC11" s="46">
        <f t="shared" si="1"/>
        <v>48</v>
      </c>
      <c r="AD11" s="46">
        <f t="shared" si="1"/>
        <v>9</v>
      </c>
      <c r="AE11" s="46">
        <f t="shared" si="1"/>
        <v>18</v>
      </c>
      <c r="AF11" s="46">
        <f t="shared" si="1"/>
        <v>29</v>
      </c>
      <c r="AG11" s="46">
        <f t="shared" si="1"/>
        <v>58</v>
      </c>
      <c r="AH11" s="46">
        <f t="shared" si="1"/>
        <v>69</v>
      </c>
      <c r="AI11" s="46">
        <f t="shared" si="1"/>
        <v>18</v>
      </c>
      <c r="AJ11" s="46">
        <f t="shared" si="1"/>
        <v>45</v>
      </c>
      <c r="AK11" s="46">
        <f t="shared" si="1"/>
        <v>54</v>
      </c>
      <c r="AL11" s="46">
        <f t="shared" si="1"/>
        <v>9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28</v>
      </c>
      <c r="I12" s="40">
        <f t="shared" si="0"/>
        <v>46</v>
      </c>
      <c r="J12" s="66">
        <f t="shared" si="0"/>
        <v>64</v>
      </c>
      <c r="K12" s="43">
        <f t="shared" si="0"/>
        <v>10</v>
      </c>
      <c r="L12" s="40">
        <f t="shared" si="0"/>
        <v>26</v>
      </c>
      <c r="M12" s="40">
        <f t="shared" si="0"/>
        <v>42</v>
      </c>
      <c r="N12" s="66">
        <f t="shared" si="0"/>
        <v>58</v>
      </c>
      <c r="O12" s="43">
        <f t="shared" si="0"/>
        <v>10</v>
      </c>
      <c r="P12" s="40">
        <f t="shared" si="0"/>
        <v>24</v>
      </c>
      <c r="Q12" s="40">
        <f t="shared" si="0"/>
        <v>38</v>
      </c>
      <c r="R12" s="66">
        <f t="shared" si="0"/>
        <v>70</v>
      </c>
      <c r="S12" s="43">
        <f t="shared" si="0"/>
        <v>10</v>
      </c>
      <c r="T12" s="40">
        <f t="shared" si="0"/>
        <v>22</v>
      </c>
      <c r="U12" s="40">
        <f t="shared" si="0"/>
        <v>52</v>
      </c>
      <c r="V12" s="66">
        <f t="shared" si="0"/>
        <v>64</v>
      </c>
      <c r="W12" s="46">
        <f t="shared" si="1"/>
        <v>19</v>
      </c>
      <c r="X12" s="46">
        <f t="shared" si="1"/>
        <v>36</v>
      </c>
      <c r="Y12" s="46">
        <f t="shared" si="1"/>
        <v>53</v>
      </c>
      <c r="Z12" s="46">
        <f t="shared" si="1"/>
        <v>70</v>
      </c>
      <c r="AA12" s="46">
        <f t="shared" si="1"/>
        <v>19</v>
      </c>
      <c r="AB12" s="46">
        <f t="shared" si="1"/>
        <v>34</v>
      </c>
      <c r="AC12" s="46">
        <f t="shared" si="1"/>
        <v>49</v>
      </c>
      <c r="AD12" s="46">
        <f t="shared" si="1"/>
        <v>64</v>
      </c>
      <c r="AE12" s="46">
        <f t="shared" si="1"/>
        <v>19</v>
      </c>
      <c r="AF12" s="46">
        <f t="shared" si="1"/>
        <v>30</v>
      </c>
      <c r="AG12" s="46">
        <f t="shared" si="1"/>
        <v>59</v>
      </c>
      <c r="AH12" s="46">
        <f t="shared" si="1"/>
        <v>70</v>
      </c>
      <c r="AI12" s="46">
        <f t="shared" si="1"/>
        <v>19</v>
      </c>
      <c r="AJ12" s="46">
        <f t="shared" si="1"/>
        <v>28</v>
      </c>
      <c r="AK12" s="46">
        <f t="shared" si="1"/>
        <v>55</v>
      </c>
      <c r="AL12" s="46">
        <f t="shared" si="1"/>
        <v>64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29</v>
      </c>
      <c r="I13" s="40">
        <f t="shared" si="0"/>
        <v>47</v>
      </c>
      <c r="J13" s="66">
        <f t="shared" si="0"/>
        <v>65</v>
      </c>
      <c r="K13" s="43">
        <f t="shared" si="0"/>
        <v>11</v>
      </c>
      <c r="L13" s="40">
        <f t="shared" si="0"/>
        <v>27</v>
      </c>
      <c r="M13" s="40">
        <f t="shared" si="0"/>
        <v>43</v>
      </c>
      <c r="N13" s="66">
        <f t="shared" si="0"/>
        <v>59</v>
      </c>
      <c r="O13" s="43">
        <f t="shared" si="0"/>
        <v>11</v>
      </c>
      <c r="P13" s="40">
        <f t="shared" si="0"/>
        <v>25</v>
      </c>
      <c r="Q13" s="40">
        <f t="shared" si="0"/>
        <v>39</v>
      </c>
      <c r="R13" s="66">
        <f t="shared" si="0"/>
        <v>71</v>
      </c>
      <c r="S13" s="43">
        <f t="shared" si="0"/>
        <v>11</v>
      </c>
      <c r="T13" s="40">
        <f t="shared" si="0"/>
        <v>23</v>
      </c>
      <c r="U13" s="40">
        <f t="shared" si="0"/>
        <v>53</v>
      </c>
      <c r="V13" s="66">
        <f t="shared" si="0"/>
        <v>65</v>
      </c>
      <c r="W13" s="46">
        <f t="shared" si="1"/>
        <v>20</v>
      </c>
      <c r="X13" s="46">
        <f t="shared" si="1"/>
        <v>37</v>
      </c>
      <c r="Y13" s="46">
        <f t="shared" si="1"/>
        <v>54</v>
      </c>
      <c r="Z13" s="46">
        <f t="shared" si="1"/>
        <v>71</v>
      </c>
      <c r="AA13" s="46">
        <f t="shared" si="1"/>
        <v>20</v>
      </c>
      <c r="AB13" s="46">
        <f t="shared" si="1"/>
        <v>35</v>
      </c>
      <c r="AC13" s="46">
        <f t="shared" si="1"/>
        <v>50</v>
      </c>
      <c r="AD13" s="46">
        <f t="shared" si="1"/>
        <v>65</v>
      </c>
      <c r="AE13" s="46">
        <f t="shared" si="1"/>
        <v>20</v>
      </c>
      <c r="AF13" s="46">
        <f t="shared" si="1"/>
        <v>31</v>
      </c>
      <c r="AG13" s="46">
        <f t="shared" si="1"/>
        <v>60</v>
      </c>
      <c r="AH13" s="46">
        <f t="shared" si="1"/>
        <v>71</v>
      </c>
      <c r="AI13" s="46">
        <f t="shared" si="1"/>
        <v>20</v>
      </c>
      <c r="AJ13" s="46">
        <f t="shared" si="1"/>
        <v>29</v>
      </c>
      <c r="AK13" s="46">
        <f t="shared" si="1"/>
        <v>56</v>
      </c>
      <c r="AL13" s="46">
        <f t="shared" si="1"/>
        <v>65</v>
      </c>
    </row>
    <row r="14" spans="1:38" x14ac:dyDescent="0.35">
      <c r="A14" s="18">
        <v>11</v>
      </c>
      <c r="B14" s="19" t="s">
        <v>18</v>
      </c>
      <c r="D14">
        <f>$B$2/$C$2-$E$2/2+1</f>
        <v>13</v>
      </c>
      <c r="E14">
        <f>$B$2/$C$2+$E$2/2</f>
        <v>24</v>
      </c>
      <c r="G14" s="43">
        <f t="shared" si="0"/>
        <v>12</v>
      </c>
      <c r="H14" s="40">
        <f t="shared" si="0"/>
        <v>30</v>
      </c>
      <c r="I14" s="40">
        <f t="shared" si="0"/>
        <v>48</v>
      </c>
      <c r="J14" s="66">
        <f t="shared" si="0"/>
        <v>66</v>
      </c>
      <c r="K14" s="43">
        <f t="shared" si="0"/>
        <v>12</v>
      </c>
      <c r="L14" s="40">
        <f t="shared" si="0"/>
        <v>28</v>
      </c>
      <c r="M14" s="40">
        <f t="shared" si="0"/>
        <v>44</v>
      </c>
      <c r="N14" s="66">
        <f t="shared" si="0"/>
        <v>60</v>
      </c>
      <c r="O14" s="43">
        <f t="shared" si="0"/>
        <v>12</v>
      </c>
      <c r="P14" s="40">
        <f t="shared" si="0"/>
        <v>26</v>
      </c>
      <c r="Q14" s="40">
        <f t="shared" si="0"/>
        <v>40</v>
      </c>
      <c r="R14" s="66">
        <f t="shared" si="0"/>
        <v>72</v>
      </c>
      <c r="S14" s="43">
        <f t="shared" si="0"/>
        <v>12</v>
      </c>
      <c r="T14" s="40">
        <f t="shared" si="0"/>
        <v>24</v>
      </c>
      <c r="U14" s="40">
        <f t="shared" si="0"/>
        <v>54</v>
      </c>
      <c r="V14" s="66">
        <f t="shared" si="0"/>
        <v>66</v>
      </c>
      <c r="W14" s="46">
        <f t="shared" si="1"/>
        <v>21</v>
      </c>
      <c r="X14" s="46">
        <f t="shared" si="1"/>
        <v>38</v>
      </c>
      <c r="Y14" s="46">
        <f t="shared" si="1"/>
        <v>55</v>
      </c>
      <c r="Z14" s="46">
        <f t="shared" si="1"/>
        <v>72</v>
      </c>
      <c r="AA14" s="46">
        <f t="shared" si="1"/>
        <v>21</v>
      </c>
      <c r="AB14" s="46">
        <f t="shared" si="1"/>
        <v>36</v>
      </c>
      <c r="AC14" s="46">
        <f t="shared" si="1"/>
        <v>51</v>
      </c>
      <c r="AD14" s="46">
        <f t="shared" si="1"/>
        <v>66</v>
      </c>
      <c r="AE14" s="46">
        <f t="shared" si="1"/>
        <v>21</v>
      </c>
      <c r="AF14" s="46">
        <f t="shared" si="1"/>
        <v>32</v>
      </c>
      <c r="AG14" s="46">
        <f t="shared" si="1"/>
        <v>61</v>
      </c>
      <c r="AH14" s="46">
        <f t="shared" si="1"/>
        <v>72</v>
      </c>
      <c r="AI14" s="46">
        <f t="shared" si="1"/>
        <v>21</v>
      </c>
      <c r="AJ14" s="46">
        <f t="shared" si="1"/>
        <v>30</v>
      </c>
      <c r="AK14" s="46">
        <f t="shared" si="1"/>
        <v>57</v>
      </c>
      <c r="AL14" s="46">
        <f t="shared" si="1"/>
        <v>66</v>
      </c>
    </row>
    <row r="15" spans="1:38" x14ac:dyDescent="0.35">
      <c r="A15" s="18">
        <v>12</v>
      </c>
      <c r="B15" s="19" t="s">
        <v>18</v>
      </c>
      <c r="D15">
        <f>2*$B$2/$C$2-$E$2/2+1</f>
        <v>31</v>
      </c>
      <c r="E15">
        <f>2*$B$2/$C$2+$E$2/2</f>
        <v>42</v>
      </c>
      <c r="G15" s="43">
        <f t="shared" si="0"/>
        <v>13</v>
      </c>
      <c r="H15" s="40">
        <f t="shared" si="0"/>
        <v>31</v>
      </c>
      <c r="I15" s="40">
        <f t="shared" si="0"/>
        <v>49</v>
      </c>
      <c r="J15" s="66">
        <f t="shared" si="0"/>
        <v>67</v>
      </c>
      <c r="K15" s="43">
        <f t="shared" si="0"/>
        <v>13</v>
      </c>
      <c r="L15" s="40">
        <f t="shared" si="0"/>
        <v>29</v>
      </c>
      <c r="M15" s="40">
        <f t="shared" si="0"/>
        <v>45</v>
      </c>
      <c r="N15" s="66">
        <f t="shared" si="0"/>
        <v>61</v>
      </c>
      <c r="O15" s="43">
        <f t="shared" si="0"/>
        <v>13</v>
      </c>
      <c r="P15" s="40">
        <f t="shared" si="0"/>
        <v>27</v>
      </c>
      <c r="Q15" s="40">
        <f t="shared" si="0"/>
        <v>41</v>
      </c>
      <c r="R15" s="66">
        <f t="shared" si="0"/>
        <v>55</v>
      </c>
      <c r="S15" s="43">
        <f t="shared" si="0"/>
        <v>13</v>
      </c>
      <c r="T15" s="40">
        <f t="shared" si="0"/>
        <v>25</v>
      </c>
      <c r="U15" s="40">
        <f t="shared" si="0"/>
        <v>37</v>
      </c>
      <c r="V15" s="66">
        <f t="shared" si="0"/>
        <v>67</v>
      </c>
      <c r="W15" s="46">
        <f t="shared" si="1"/>
        <v>22</v>
      </c>
      <c r="X15" s="46">
        <f t="shared" si="1"/>
        <v>39</v>
      </c>
      <c r="Y15" s="46">
        <f t="shared" si="1"/>
        <v>56</v>
      </c>
      <c r="Z15" s="46">
        <f t="shared" si="1"/>
        <v>1</v>
      </c>
      <c r="AA15" s="46">
        <f t="shared" si="1"/>
        <v>22</v>
      </c>
      <c r="AB15" s="46">
        <f t="shared" si="1"/>
        <v>37</v>
      </c>
      <c r="AC15" s="46">
        <f t="shared" si="1"/>
        <v>52</v>
      </c>
      <c r="AD15" s="46">
        <f t="shared" si="1"/>
        <v>67</v>
      </c>
      <c r="AE15" s="46">
        <f t="shared" si="1"/>
        <v>22</v>
      </c>
      <c r="AF15" s="46">
        <f t="shared" si="1"/>
        <v>33</v>
      </c>
      <c r="AG15" s="46">
        <f t="shared" si="1"/>
        <v>62</v>
      </c>
      <c r="AH15" s="46">
        <f t="shared" si="1"/>
        <v>1</v>
      </c>
      <c r="AI15" s="46">
        <f t="shared" si="1"/>
        <v>22</v>
      </c>
      <c r="AJ15" s="46">
        <f t="shared" si="1"/>
        <v>31</v>
      </c>
      <c r="AK15" s="46">
        <f t="shared" si="1"/>
        <v>58</v>
      </c>
      <c r="AL15" s="46">
        <f t="shared" si="1"/>
        <v>67</v>
      </c>
    </row>
    <row r="16" spans="1:38" x14ac:dyDescent="0.35">
      <c r="A16" s="18">
        <v>13</v>
      </c>
      <c r="B16" s="19" t="s">
        <v>18</v>
      </c>
      <c r="D16">
        <f>3*$B$2/$C$2-$E$2/2+1</f>
        <v>49</v>
      </c>
      <c r="E16">
        <f>3*$B$2/$C$2+$E$2/2</f>
        <v>60</v>
      </c>
      <c r="G16" s="43">
        <f t="shared" si="0"/>
        <v>14</v>
      </c>
      <c r="H16" s="40">
        <f t="shared" si="0"/>
        <v>32</v>
      </c>
      <c r="I16" s="40">
        <f t="shared" si="0"/>
        <v>50</v>
      </c>
      <c r="J16" s="66">
        <f t="shared" si="0"/>
        <v>68</v>
      </c>
      <c r="K16" s="43">
        <f t="shared" si="0"/>
        <v>14</v>
      </c>
      <c r="L16" s="40">
        <f t="shared" si="0"/>
        <v>30</v>
      </c>
      <c r="M16" s="40">
        <f t="shared" si="0"/>
        <v>46</v>
      </c>
      <c r="N16" s="66">
        <f t="shared" si="0"/>
        <v>62</v>
      </c>
      <c r="O16" s="43">
        <f t="shared" si="0"/>
        <v>14</v>
      </c>
      <c r="P16" s="40">
        <f t="shared" si="0"/>
        <v>28</v>
      </c>
      <c r="Q16" s="40">
        <f t="shared" si="0"/>
        <v>42</v>
      </c>
      <c r="R16" s="66">
        <f t="shared" si="0"/>
        <v>56</v>
      </c>
      <c r="S16" s="43">
        <f t="shared" si="0"/>
        <v>14</v>
      </c>
      <c r="T16" s="40">
        <f t="shared" si="0"/>
        <v>26</v>
      </c>
      <c r="U16" s="40">
        <f t="shared" si="0"/>
        <v>38</v>
      </c>
      <c r="V16" s="66">
        <f t="shared" si="0"/>
        <v>68</v>
      </c>
      <c r="W16" s="46">
        <f t="shared" si="1"/>
        <v>23</v>
      </c>
      <c r="X16" s="46">
        <f t="shared" si="1"/>
        <v>40</v>
      </c>
      <c r="Y16" s="46">
        <f t="shared" si="1"/>
        <v>57</v>
      </c>
      <c r="Z16" s="46">
        <f t="shared" si="1"/>
        <v>2</v>
      </c>
      <c r="AA16" s="46">
        <f t="shared" si="1"/>
        <v>23</v>
      </c>
      <c r="AB16" s="46">
        <f t="shared" si="1"/>
        <v>38</v>
      </c>
      <c r="AC16" s="46">
        <f t="shared" si="1"/>
        <v>53</v>
      </c>
      <c r="AD16" s="46">
        <f t="shared" si="1"/>
        <v>68</v>
      </c>
      <c r="AE16" s="46">
        <f t="shared" si="1"/>
        <v>23</v>
      </c>
      <c r="AF16" s="46">
        <f t="shared" si="1"/>
        <v>34</v>
      </c>
      <c r="AG16" s="46">
        <f t="shared" si="1"/>
        <v>63</v>
      </c>
      <c r="AH16" s="46">
        <f t="shared" si="1"/>
        <v>2</v>
      </c>
      <c r="AI16" s="46">
        <f t="shared" si="1"/>
        <v>23</v>
      </c>
      <c r="AJ16" s="46">
        <f t="shared" si="1"/>
        <v>32</v>
      </c>
      <c r="AK16" s="46">
        <f t="shared" si="1"/>
        <v>59</v>
      </c>
      <c r="AL16" s="46">
        <f t="shared" si="1"/>
        <v>68</v>
      </c>
    </row>
    <row r="17" spans="1:38" x14ac:dyDescent="0.35">
      <c r="A17" s="3">
        <v>14</v>
      </c>
      <c r="B17" s="22" t="s">
        <v>19</v>
      </c>
      <c r="D17">
        <f>$B$2-2</f>
        <v>70</v>
      </c>
      <c r="E17">
        <f>$B$2</f>
        <v>72</v>
      </c>
      <c r="G17" s="43">
        <f t="shared" si="0"/>
        <v>15</v>
      </c>
      <c r="H17" s="40">
        <f t="shared" si="0"/>
        <v>33</v>
      </c>
      <c r="I17" s="40">
        <f t="shared" si="0"/>
        <v>51</v>
      </c>
      <c r="J17" s="66">
        <f t="shared" si="0"/>
        <v>69</v>
      </c>
      <c r="K17" s="43">
        <f t="shared" si="0"/>
        <v>15</v>
      </c>
      <c r="L17" s="40">
        <f t="shared" si="0"/>
        <v>31</v>
      </c>
      <c r="M17" s="40">
        <f t="shared" si="0"/>
        <v>47</v>
      </c>
      <c r="N17" s="66">
        <f t="shared" si="0"/>
        <v>63</v>
      </c>
      <c r="O17" s="43">
        <f t="shared" si="0"/>
        <v>15</v>
      </c>
      <c r="P17" s="40">
        <f t="shared" si="0"/>
        <v>29</v>
      </c>
      <c r="Q17" s="40">
        <f t="shared" si="0"/>
        <v>43</v>
      </c>
      <c r="R17" s="66">
        <f t="shared" si="0"/>
        <v>57</v>
      </c>
      <c r="S17" s="43">
        <f t="shared" si="0"/>
        <v>15</v>
      </c>
      <c r="T17" s="40">
        <f t="shared" si="0"/>
        <v>27</v>
      </c>
      <c r="U17" s="40">
        <f t="shared" si="0"/>
        <v>39</v>
      </c>
      <c r="V17" s="66">
        <f t="shared" si="0"/>
        <v>69</v>
      </c>
      <c r="W17" s="46">
        <f t="shared" si="1"/>
        <v>24</v>
      </c>
      <c r="X17" s="46">
        <f t="shared" si="1"/>
        <v>41</v>
      </c>
      <c r="Y17" s="46">
        <f t="shared" si="1"/>
        <v>58</v>
      </c>
      <c r="Z17" s="46">
        <f t="shared" si="1"/>
        <v>3</v>
      </c>
      <c r="AA17" s="46">
        <f t="shared" si="1"/>
        <v>24</v>
      </c>
      <c r="AB17" s="46">
        <f t="shared" si="1"/>
        <v>39</v>
      </c>
      <c r="AC17" s="46">
        <f t="shared" si="1"/>
        <v>54</v>
      </c>
      <c r="AD17" s="46">
        <f t="shared" si="1"/>
        <v>69</v>
      </c>
      <c r="AE17" s="46">
        <f t="shared" si="1"/>
        <v>24</v>
      </c>
      <c r="AF17" s="46">
        <f t="shared" si="1"/>
        <v>35</v>
      </c>
      <c r="AG17" s="46">
        <f t="shared" si="1"/>
        <v>46</v>
      </c>
      <c r="AH17" s="46">
        <f t="shared" si="1"/>
        <v>3</v>
      </c>
      <c r="AI17" s="46">
        <f t="shared" si="1"/>
        <v>24</v>
      </c>
      <c r="AJ17" s="46">
        <f t="shared" si="1"/>
        <v>33</v>
      </c>
      <c r="AK17" s="46">
        <f t="shared" si="1"/>
        <v>60</v>
      </c>
      <c r="AL17" s="46">
        <f t="shared" si="1"/>
        <v>69</v>
      </c>
    </row>
    <row r="18" spans="1:38" x14ac:dyDescent="0.35">
      <c r="A18" s="3">
        <v>15</v>
      </c>
      <c r="B18" s="22" t="s">
        <v>19</v>
      </c>
      <c r="G18" s="43">
        <f t="shared" si="0"/>
        <v>16</v>
      </c>
      <c r="H18" s="40">
        <f t="shared" si="0"/>
        <v>34</v>
      </c>
      <c r="I18" s="40">
        <f t="shared" si="0"/>
        <v>52</v>
      </c>
      <c r="J18" s="66">
        <f t="shared" si="0"/>
        <v>70</v>
      </c>
      <c r="K18" s="43">
        <f t="shared" si="0"/>
        <v>16</v>
      </c>
      <c r="L18" s="40">
        <f t="shared" si="0"/>
        <v>32</v>
      </c>
      <c r="M18" s="40">
        <f t="shared" si="0"/>
        <v>48</v>
      </c>
      <c r="N18" s="66">
        <f t="shared" si="0"/>
        <v>64</v>
      </c>
      <c r="O18" s="43">
        <f t="shared" si="0"/>
        <v>16</v>
      </c>
      <c r="P18" s="40">
        <f t="shared" si="0"/>
        <v>30</v>
      </c>
      <c r="Q18" s="40">
        <f t="shared" si="0"/>
        <v>44</v>
      </c>
      <c r="R18" s="66">
        <f t="shared" si="0"/>
        <v>58</v>
      </c>
      <c r="S18" s="43">
        <f t="shared" si="0"/>
        <v>16</v>
      </c>
      <c r="T18" s="40">
        <f t="shared" si="0"/>
        <v>28</v>
      </c>
      <c r="U18" s="40">
        <f t="shared" si="0"/>
        <v>40</v>
      </c>
      <c r="V18" s="66">
        <f t="shared" ref="V18:V20" si="2">MOD($A18-V$1*V$2,$B$2/4)+V$2*$B$2/4+1</f>
        <v>70</v>
      </c>
      <c r="W18" s="46">
        <f t="shared" si="1"/>
        <v>25</v>
      </c>
      <c r="X18" s="46">
        <f t="shared" si="1"/>
        <v>42</v>
      </c>
      <c r="Y18" s="46">
        <f t="shared" si="1"/>
        <v>59</v>
      </c>
      <c r="Z18" s="46">
        <f t="shared" si="1"/>
        <v>4</v>
      </c>
      <c r="AA18" s="46">
        <f t="shared" si="1"/>
        <v>25</v>
      </c>
      <c r="AB18" s="46">
        <f t="shared" si="1"/>
        <v>40</v>
      </c>
      <c r="AC18" s="46">
        <f t="shared" si="1"/>
        <v>55</v>
      </c>
      <c r="AD18" s="46">
        <f t="shared" si="1"/>
        <v>70</v>
      </c>
      <c r="AE18" s="46">
        <f t="shared" si="1"/>
        <v>25</v>
      </c>
      <c r="AF18" s="46">
        <f t="shared" si="1"/>
        <v>36</v>
      </c>
      <c r="AG18" s="46">
        <f t="shared" si="1"/>
        <v>47</v>
      </c>
      <c r="AH18" s="46">
        <f t="shared" si="1"/>
        <v>4</v>
      </c>
      <c r="AI18" s="46">
        <f t="shared" si="1"/>
        <v>25</v>
      </c>
      <c r="AJ18" s="46">
        <f t="shared" si="1"/>
        <v>34</v>
      </c>
      <c r="AK18" s="46">
        <f t="shared" si="1"/>
        <v>61</v>
      </c>
      <c r="AL18" s="46">
        <f t="shared" ref="AL18:AL20" si="3">MOD(MOD($A18-AL$1*AL$2,$B$2/4)+AL$2*$B$2/4+ROUND($B$2/8,0),$B$2)+1</f>
        <v>70</v>
      </c>
    </row>
    <row r="19" spans="1:38" x14ac:dyDescent="0.35">
      <c r="A19" s="3">
        <v>16</v>
      </c>
      <c r="B19" s="22" t="s">
        <v>19</v>
      </c>
      <c r="D19">
        <f>$B$2/$C$2-$E$2/2+$B$2/8+1</f>
        <v>22</v>
      </c>
      <c r="E19">
        <f>ROUND($B$2/$C$2+$E$2/2+$B$2/8,0)</f>
        <v>33</v>
      </c>
      <c r="G19" s="43">
        <f t="shared" ref="G19:U20" si="4">MOD($A19-G$1*G$2,$B$2/4)+G$2*$B$2/4+1</f>
        <v>17</v>
      </c>
      <c r="H19" s="40">
        <f t="shared" si="4"/>
        <v>35</v>
      </c>
      <c r="I19" s="40">
        <f t="shared" si="4"/>
        <v>53</v>
      </c>
      <c r="J19" s="66">
        <f t="shared" si="4"/>
        <v>71</v>
      </c>
      <c r="K19" s="43">
        <f t="shared" si="4"/>
        <v>17</v>
      </c>
      <c r="L19" s="40">
        <f t="shared" si="4"/>
        <v>33</v>
      </c>
      <c r="M19" s="40">
        <f t="shared" si="4"/>
        <v>49</v>
      </c>
      <c r="N19" s="66">
        <f t="shared" si="4"/>
        <v>65</v>
      </c>
      <c r="O19" s="43">
        <f t="shared" si="4"/>
        <v>17</v>
      </c>
      <c r="P19" s="40">
        <f t="shared" si="4"/>
        <v>31</v>
      </c>
      <c r="Q19" s="40">
        <f t="shared" si="4"/>
        <v>45</v>
      </c>
      <c r="R19" s="66">
        <f t="shared" si="4"/>
        <v>59</v>
      </c>
      <c r="S19" s="43">
        <f t="shared" si="4"/>
        <v>17</v>
      </c>
      <c r="T19" s="40">
        <f t="shared" si="4"/>
        <v>29</v>
      </c>
      <c r="U19" s="40">
        <f t="shared" si="4"/>
        <v>41</v>
      </c>
      <c r="V19" s="66">
        <f t="shared" si="2"/>
        <v>71</v>
      </c>
      <c r="W19" s="46">
        <f t="shared" ref="W19:AK20" si="5">MOD(MOD($A19-W$1*W$2,$B$2/4)+W$2*$B$2/4+ROUND($B$2/8,0),$B$2)+1</f>
        <v>26</v>
      </c>
      <c r="X19" s="46">
        <f t="shared" si="5"/>
        <v>43</v>
      </c>
      <c r="Y19" s="46">
        <f t="shared" si="5"/>
        <v>60</v>
      </c>
      <c r="Z19" s="46">
        <f t="shared" si="5"/>
        <v>5</v>
      </c>
      <c r="AA19" s="46">
        <f t="shared" si="5"/>
        <v>26</v>
      </c>
      <c r="AB19" s="46">
        <f t="shared" si="5"/>
        <v>41</v>
      </c>
      <c r="AC19" s="46">
        <f t="shared" si="5"/>
        <v>56</v>
      </c>
      <c r="AD19" s="46">
        <f t="shared" si="5"/>
        <v>71</v>
      </c>
      <c r="AE19" s="46">
        <f t="shared" si="5"/>
        <v>26</v>
      </c>
      <c r="AF19" s="46">
        <f t="shared" si="5"/>
        <v>37</v>
      </c>
      <c r="AG19" s="46">
        <f t="shared" si="5"/>
        <v>48</v>
      </c>
      <c r="AH19" s="46">
        <f t="shared" si="5"/>
        <v>5</v>
      </c>
      <c r="AI19" s="46">
        <f t="shared" si="5"/>
        <v>26</v>
      </c>
      <c r="AJ19" s="46">
        <f t="shared" si="5"/>
        <v>35</v>
      </c>
      <c r="AK19" s="46">
        <f t="shared" si="5"/>
        <v>62</v>
      </c>
      <c r="AL19" s="46">
        <f t="shared" si="3"/>
        <v>71</v>
      </c>
    </row>
    <row r="20" spans="1:38" x14ac:dyDescent="0.35">
      <c r="A20" s="3">
        <v>17</v>
      </c>
      <c r="B20" s="22" t="s">
        <v>19</v>
      </c>
      <c r="D20">
        <f>2*$B$2/$C$2-$E$2/2+$B$2/8+1</f>
        <v>40</v>
      </c>
      <c r="E20">
        <f>ROUND(2*$B$2/$C$2+$E$2/2+$B$2/8,0)</f>
        <v>51</v>
      </c>
      <c r="G20" s="43">
        <f t="shared" si="4"/>
        <v>18</v>
      </c>
      <c r="H20" s="40">
        <f t="shared" si="4"/>
        <v>36</v>
      </c>
      <c r="I20" s="40">
        <f t="shared" si="4"/>
        <v>54</v>
      </c>
      <c r="J20" s="66">
        <f t="shared" si="4"/>
        <v>72</v>
      </c>
      <c r="K20" s="43">
        <f t="shared" si="4"/>
        <v>18</v>
      </c>
      <c r="L20" s="40">
        <f t="shared" si="4"/>
        <v>34</v>
      </c>
      <c r="M20" s="40">
        <f t="shared" si="4"/>
        <v>50</v>
      </c>
      <c r="N20" s="66">
        <f t="shared" si="4"/>
        <v>66</v>
      </c>
      <c r="O20" s="43">
        <f t="shared" si="4"/>
        <v>18</v>
      </c>
      <c r="P20" s="40">
        <f t="shared" si="4"/>
        <v>32</v>
      </c>
      <c r="Q20" s="40">
        <f t="shared" si="4"/>
        <v>46</v>
      </c>
      <c r="R20" s="66">
        <f t="shared" si="4"/>
        <v>60</v>
      </c>
      <c r="S20" s="43">
        <f t="shared" si="4"/>
        <v>18</v>
      </c>
      <c r="T20" s="40">
        <f t="shared" si="4"/>
        <v>30</v>
      </c>
      <c r="U20" s="40">
        <f t="shared" si="4"/>
        <v>42</v>
      </c>
      <c r="V20" s="66">
        <f t="shared" si="2"/>
        <v>72</v>
      </c>
      <c r="W20" s="46">
        <f t="shared" si="5"/>
        <v>27</v>
      </c>
      <c r="X20" s="46">
        <f t="shared" si="5"/>
        <v>44</v>
      </c>
      <c r="Y20" s="46">
        <f t="shared" si="5"/>
        <v>61</v>
      </c>
      <c r="Z20" s="46">
        <f t="shared" si="5"/>
        <v>6</v>
      </c>
      <c r="AA20" s="46">
        <f t="shared" si="5"/>
        <v>27</v>
      </c>
      <c r="AB20" s="46">
        <f t="shared" si="5"/>
        <v>42</v>
      </c>
      <c r="AC20" s="46">
        <f t="shared" si="5"/>
        <v>57</v>
      </c>
      <c r="AD20" s="46">
        <f t="shared" si="5"/>
        <v>72</v>
      </c>
      <c r="AE20" s="46">
        <f t="shared" si="5"/>
        <v>27</v>
      </c>
      <c r="AF20" s="46">
        <f t="shared" si="5"/>
        <v>38</v>
      </c>
      <c r="AG20" s="46">
        <f t="shared" si="5"/>
        <v>49</v>
      </c>
      <c r="AH20" s="46">
        <f t="shared" si="5"/>
        <v>6</v>
      </c>
      <c r="AI20" s="46">
        <f t="shared" si="5"/>
        <v>27</v>
      </c>
      <c r="AJ20" s="46">
        <f t="shared" si="5"/>
        <v>36</v>
      </c>
      <c r="AK20" s="46">
        <f t="shared" si="5"/>
        <v>63</v>
      </c>
      <c r="AL20" s="46">
        <f t="shared" si="3"/>
        <v>72</v>
      </c>
    </row>
    <row r="21" spans="1:38" x14ac:dyDescent="0.35">
      <c r="A21" s="3">
        <v>18</v>
      </c>
      <c r="B21" s="22" t="s">
        <v>19</v>
      </c>
      <c r="D21">
        <f>3*$B$2/$C$2-$E$2/2+$B$2/8+1</f>
        <v>58</v>
      </c>
      <c r="E21">
        <f>ROUND(3*$B$2/$C$2+$E$2/2+$B$2/8,0)</f>
        <v>69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70</v>
      </c>
      <c r="E22">
        <f>$B$2</f>
        <v>72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4</v>
      </c>
      <c r="E23">
        <f>ROUND($B$2/$C$2+$E$2/2-$B$2/8,0)</f>
        <v>15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6">SUM(F28:F40)</f>
        <v>45</v>
      </c>
      <c r="G41">
        <f t="shared" si="6"/>
        <v>79</v>
      </c>
      <c r="H41">
        <f t="shared" si="6"/>
        <v>70</v>
      </c>
      <c r="I41">
        <f t="shared" si="6"/>
        <v>59</v>
      </c>
      <c r="J41">
        <f t="shared" si="6"/>
        <v>51</v>
      </c>
      <c r="K41">
        <f t="shared" si="6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249" priority="6" operator="between">
      <formula>$D$17</formula>
      <formula>$E$17</formula>
    </cfRule>
    <cfRule type="cellIs" dxfId="248" priority="7" operator="between">
      <formula>$D$16</formula>
      <formula>$E$16</formula>
    </cfRule>
    <cfRule type="cellIs" dxfId="247" priority="8" operator="between">
      <formula>$D$15</formula>
      <formula>$E$15</formula>
    </cfRule>
    <cfRule type="cellIs" dxfId="246" priority="9" operator="between">
      <formula>$D$14</formula>
      <formula>$E$14</formula>
    </cfRule>
  </conditionalFormatting>
  <conditionalFormatting sqref="W3:AL22">
    <cfRule type="cellIs" dxfId="245" priority="1" operator="between">
      <formula>$D$23</formula>
      <formula>$E$23</formula>
    </cfRule>
    <cfRule type="cellIs" dxfId="244" priority="2" operator="between">
      <formula>$D$22</formula>
      <formula>$E$22</formula>
    </cfRule>
    <cfRule type="cellIs" dxfId="243" priority="3" operator="between">
      <formula>$D$21</formula>
      <formula>$E$21</formula>
    </cfRule>
    <cfRule type="cellIs" dxfId="242" priority="4" operator="between">
      <formula>$D$20</formula>
      <formula>$E$20</formula>
    </cfRule>
    <cfRule type="cellIs" dxfId="241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6"/>
  <dimension ref="A1:D144"/>
  <sheetViews>
    <sheetView topLeftCell="A12" zoomScale="55" zoomScaleNormal="55" workbookViewId="0">
      <selection activeCell="D12" sqref="D12"/>
    </sheetView>
  </sheetViews>
  <sheetFormatPr defaultRowHeight="14.5" x14ac:dyDescent="0.35"/>
  <sheetData>
    <row r="1" spans="1:4" x14ac:dyDescent="0.35">
      <c r="A1" s="63">
        <v>1</v>
      </c>
      <c r="B1" s="64">
        <v>19</v>
      </c>
      <c r="C1" s="64">
        <v>37</v>
      </c>
      <c r="D1" s="65">
        <v>55</v>
      </c>
    </row>
    <row r="2" spans="1:4" x14ac:dyDescent="0.35">
      <c r="A2" s="43">
        <v>2</v>
      </c>
      <c r="B2" s="40">
        <v>20</v>
      </c>
      <c r="C2" s="40">
        <v>38</v>
      </c>
      <c r="D2" s="66">
        <v>56</v>
      </c>
    </row>
    <row r="3" spans="1:4" x14ac:dyDescent="0.35">
      <c r="A3" s="43">
        <v>3</v>
      </c>
      <c r="B3" s="40">
        <v>21</v>
      </c>
      <c r="C3" s="40">
        <v>39</v>
      </c>
      <c r="D3" s="66">
        <v>57</v>
      </c>
    </row>
    <row r="4" spans="1:4" x14ac:dyDescent="0.35">
      <c r="A4" s="43">
        <v>4</v>
      </c>
      <c r="B4" s="40">
        <v>22</v>
      </c>
      <c r="C4" s="40">
        <v>40</v>
      </c>
      <c r="D4" s="66">
        <v>58</v>
      </c>
    </row>
    <row r="5" spans="1:4" x14ac:dyDescent="0.35">
      <c r="A5" s="43">
        <v>5</v>
      </c>
      <c r="B5" s="40">
        <v>23</v>
      </c>
      <c r="C5" s="40">
        <v>41</v>
      </c>
      <c r="D5" s="66">
        <v>59</v>
      </c>
    </row>
    <row r="6" spans="1:4" x14ac:dyDescent="0.35">
      <c r="A6" s="43">
        <v>6</v>
      </c>
      <c r="B6" s="40">
        <v>24</v>
      </c>
      <c r="C6" s="40">
        <v>42</v>
      </c>
      <c r="D6" s="66">
        <v>60</v>
      </c>
    </row>
    <row r="7" spans="1:4" x14ac:dyDescent="0.35">
      <c r="A7" s="43">
        <v>7</v>
      </c>
      <c r="B7" s="40">
        <v>25</v>
      </c>
      <c r="C7" s="40">
        <v>43</v>
      </c>
      <c r="D7" s="66">
        <v>61</v>
      </c>
    </row>
    <row r="8" spans="1:4" x14ac:dyDescent="0.35">
      <c r="A8" s="43">
        <v>8</v>
      </c>
      <c r="B8" s="40">
        <v>26</v>
      </c>
      <c r="C8" s="40">
        <v>44</v>
      </c>
      <c r="D8" s="66">
        <v>62</v>
      </c>
    </row>
    <row r="9" spans="1:4" x14ac:dyDescent="0.35">
      <c r="A9" s="43">
        <v>9</v>
      </c>
      <c r="B9" s="40">
        <v>27</v>
      </c>
      <c r="C9" s="40">
        <v>45</v>
      </c>
      <c r="D9" s="66">
        <v>63</v>
      </c>
    </row>
    <row r="10" spans="1:4" ht="15" thickBot="1" x14ac:dyDescent="0.4">
      <c r="A10">
        <v>10</v>
      </c>
      <c r="B10">
        <v>28</v>
      </c>
      <c r="C10">
        <v>46</v>
      </c>
      <c r="D10">
        <v>64</v>
      </c>
    </row>
    <row r="11" spans="1:4" x14ac:dyDescent="0.35">
      <c r="A11" s="63">
        <v>11</v>
      </c>
      <c r="B11" s="64">
        <v>29</v>
      </c>
      <c r="C11" s="64">
        <v>47</v>
      </c>
      <c r="D11" s="65">
        <v>65</v>
      </c>
    </row>
    <row r="12" spans="1:4" x14ac:dyDescent="0.35">
      <c r="A12">
        <v>12</v>
      </c>
      <c r="B12">
        <v>30</v>
      </c>
      <c r="C12">
        <v>48</v>
      </c>
      <c r="D12">
        <v>66</v>
      </c>
    </row>
    <row r="13" spans="1:4" x14ac:dyDescent="0.35">
      <c r="A13">
        <v>13</v>
      </c>
      <c r="B13">
        <v>31</v>
      </c>
      <c r="C13">
        <v>49</v>
      </c>
      <c r="D13">
        <v>67</v>
      </c>
    </row>
    <row r="14" spans="1:4" x14ac:dyDescent="0.35">
      <c r="A14">
        <v>14</v>
      </c>
      <c r="B14">
        <v>32</v>
      </c>
      <c r="C14">
        <v>50</v>
      </c>
      <c r="D14">
        <v>68</v>
      </c>
    </row>
    <row r="15" spans="1:4" x14ac:dyDescent="0.35">
      <c r="A15">
        <v>15</v>
      </c>
      <c r="B15">
        <v>33</v>
      </c>
      <c r="C15">
        <v>51</v>
      </c>
      <c r="D15">
        <v>69</v>
      </c>
    </row>
    <row r="16" spans="1:4" x14ac:dyDescent="0.35">
      <c r="A16">
        <v>16</v>
      </c>
      <c r="B16">
        <v>34</v>
      </c>
      <c r="C16">
        <v>52</v>
      </c>
      <c r="D16">
        <v>70</v>
      </c>
    </row>
    <row r="17" spans="1:4" x14ac:dyDescent="0.35">
      <c r="A17">
        <v>17</v>
      </c>
      <c r="B17">
        <v>35</v>
      </c>
      <c r="C17">
        <v>53</v>
      </c>
      <c r="D17">
        <v>71</v>
      </c>
    </row>
    <row r="18" spans="1:4" x14ac:dyDescent="0.35">
      <c r="A18">
        <v>18</v>
      </c>
      <c r="B18">
        <v>36</v>
      </c>
      <c r="C18">
        <v>54</v>
      </c>
      <c r="D18">
        <v>72</v>
      </c>
    </row>
    <row r="19" spans="1:4" x14ac:dyDescent="0.35">
      <c r="A19">
        <v>1</v>
      </c>
      <c r="B19">
        <v>35</v>
      </c>
      <c r="C19">
        <v>51</v>
      </c>
      <c r="D19">
        <v>67</v>
      </c>
    </row>
    <row r="20" spans="1:4" x14ac:dyDescent="0.35">
      <c r="A20">
        <v>2</v>
      </c>
      <c r="B20">
        <v>36</v>
      </c>
      <c r="C20">
        <v>52</v>
      </c>
      <c r="D20">
        <v>68</v>
      </c>
    </row>
    <row r="21" spans="1:4" x14ac:dyDescent="0.35">
      <c r="A21">
        <v>3</v>
      </c>
      <c r="B21">
        <v>19</v>
      </c>
      <c r="C21">
        <v>53</v>
      </c>
      <c r="D21">
        <v>69</v>
      </c>
    </row>
    <row r="22" spans="1:4" x14ac:dyDescent="0.35">
      <c r="A22">
        <v>4</v>
      </c>
      <c r="B22">
        <v>20</v>
      </c>
      <c r="C22">
        <v>54</v>
      </c>
      <c r="D22">
        <v>70</v>
      </c>
    </row>
    <row r="23" spans="1:4" x14ac:dyDescent="0.35">
      <c r="A23">
        <v>5</v>
      </c>
      <c r="B23">
        <v>21</v>
      </c>
      <c r="C23">
        <v>37</v>
      </c>
      <c r="D23">
        <v>71</v>
      </c>
    </row>
    <row r="24" spans="1:4" x14ac:dyDescent="0.35">
      <c r="A24">
        <v>6</v>
      </c>
      <c r="B24">
        <v>22</v>
      </c>
      <c r="C24">
        <v>38</v>
      </c>
      <c r="D24">
        <v>72</v>
      </c>
    </row>
    <row r="25" spans="1:4" x14ac:dyDescent="0.35">
      <c r="A25">
        <v>7</v>
      </c>
      <c r="B25">
        <v>23</v>
      </c>
      <c r="C25">
        <v>39</v>
      </c>
      <c r="D25">
        <v>55</v>
      </c>
    </row>
    <row r="26" spans="1:4" x14ac:dyDescent="0.35">
      <c r="A26">
        <v>8</v>
      </c>
      <c r="B26">
        <v>24</v>
      </c>
      <c r="C26">
        <v>40</v>
      </c>
      <c r="D26">
        <v>56</v>
      </c>
    </row>
    <row r="27" spans="1:4" x14ac:dyDescent="0.35">
      <c r="A27">
        <v>9</v>
      </c>
      <c r="B27">
        <v>25</v>
      </c>
      <c r="C27">
        <v>41</v>
      </c>
      <c r="D27">
        <v>57</v>
      </c>
    </row>
    <row r="28" spans="1:4" x14ac:dyDescent="0.35">
      <c r="A28">
        <v>10</v>
      </c>
      <c r="B28">
        <v>26</v>
      </c>
      <c r="C28">
        <v>42</v>
      </c>
      <c r="D28">
        <v>58</v>
      </c>
    </row>
    <row r="29" spans="1:4" x14ac:dyDescent="0.35">
      <c r="A29">
        <v>11</v>
      </c>
      <c r="B29">
        <v>27</v>
      </c>
      <c r="C29">
        <v>43</v>
      </c>
      <c r="D29">
        <v>59</v>
      </c>
    </row>
    <row r="30" spans="1:4" x14ac:dyDescent="0.35">
      <c r="A30">
        <v>12</v>
      </c>
      <c r="B30">
        <v>28</v>
      </c>
      <c r="C30">
        <v>44</v>
      </c>
      <c r="D30">
        <v>60</v>
      </c>
    </row>
    <row r="31" spans="1:4" x14ac:dyDescent="0.35">
      <c r="A31">
        <v>13</v>
      </c>
      <c r="B31">
        <v>29</v>
      </c>
      <c r="C31">
        <v>45</v>
      </c>
      <c r="D31">
        <v>61</v>
      </c>
    </row>
    <row r="32" spans="1:4" x14ac:dyDescent="0.35">
      <c r="A32">
        <v>14</v>
      </c>
      <c r="B32">
        <v>30</v>
      </c>
      <c r="C32">
        <v>46</v>
      </c>
      <c r="D32">
        <v>62</v>
      </c>
    </row>
    <row r="33" spans="1:4" x14ac:dyDescent="0.35">
      <c r="A33">
        <v>15</v>
      </c>
      <c r="B33">
        <v>31</v>
      </c>
      <c r="C33">
        <v>47</v>
      </c>
      <c r="D33">
        <v>63</v>
      </c>
    </row>
    <row r="34" spans="1:4" x14ac:dyDescent="0.35">
      <c r="A34">
        <v>16</v>
      </c>
      <c r="B34">
        <v>32</v>
      </c>
      <c r="C34">
        <v>48</v>
      </c>
      <c r="D34">
        <v>64</v>
      </c>
    </row>
    <row r="35" spans="1:4" x14ac:dyDescent="0.35">
      <c r="A35">
        <v>17</v>
      </c>
      <c r="B35">
        <v>33</v>
      </c>
      <c r="C35">
        <v>49</v>
      </c>
      <c r="D35">
        <v>65</v>
      </c>
    </row>
    <row r="36" spans="1:4" x14ac:dyDescent="0.35">
      <c r="A36">
        <v>18</v>
      </c>
      <c r="B36">
        <v>34</v>
      </c>
      <c r="C36">
        <v>50</v>
      </c>
      <c r="D36">
        <v>66</v>
      </c>
    </row>
    <row r="37" spans="1:4" x14ac:dyDescent="0.35">
      <c r="A37">
        <v>1</v>
      </c>
      <c r="B37">
        <v>33</v>
      </c>
      <c r="C37">
        <v>47</v>
      </c>
      <c r="D37">
        <v>61</v>
      </c>
    </row>
    <row r="38" spans="1:4" x14ac:dyDescent="0.35">
      <c r="A38">
        <v>2</v>
      </c>
      <c r="B38">
        <v>34</v>
      </c>
      <c r="C38">
        <v>48</v>
      </c>
      <c r="D38">
        <v>62</v>
      </c>
    </row>
    <row r="39" spans="1:4" x14ac:dyDescent="0.35">
      <c r="A39">
        <v>3</v>
      </c>
      <c r="B39">
        <v>35</v>
      </c>
      <c r="C39">
        <v>49</v>
      </c>
      <c r="D39">
        <v>63</v>
      </c>
    </row>
    <row r="40" spans="1:4" x14ac:dyDescent="0.35">
      <c r="A40">
        <v>4</v>
      </c>
      <c r="B40">
        <v>36</v>
      </c>
      <c r="C40">
        <v>50</v>
      </c>
      <c r="D40">
        <v>64</v>
      </c>
    </row>
    <row r="41" spans="1:4" x14ac:dyDescent="0.35">
      <c r="A41">
        <v>5</v>
      </c>
      <c r="B41">
        <v>19</v>
      </c>
      <c r="C41">
        <v>51</v>
      </c>
      <c r="D41">
        <v>65</v>
      </c>
    </row>
    <row r="42" spans="1:4" x14ac:dyDescent="0.35">
      <c r="A42">
        <v>6</v>
      </c>
      <c r="B42">
        <v>20</v>
      </c>
      <c r="C42">
        <v>52</v>
      </c>
      <c r="D42">
        <v>66</v>
      </c>
    </row>
    <row r="43" spans="1:4" x14ac:dyDescent="0.35">
      <c r="A43">
        <v>7</v>
      </c>
      <c r="B43">
        <v>21</v>
      </c>
      <c r="C43">
        <v>53</v>
      </c>
      <c r="D43">
        <v>67</v>
      </c>
    </row>
    <row r="44" spans="1:4" x14ac:dyDescent="0.35">
      <c r="A44">
        <v>8</v>
      </c>
      <c r="B44">
        <v>22</v>
      </c>
      <c r="C44">
        <v>54</v>
      </c>
      <c r="D44">
        <v>68</v>
      </c>
    </row>
    <row r="45" spans="1:4" x14ac:dyDescent="0.35">
      <c r="A45">
        <v>9</v>
      </c>
      <c r="B45">
        <v>23</v>
      </c>
      <c r="C45">
        <v>37</v>
      </c>
      <c r="D45">
        <v>69</v>
      </c>
    </row>
    <row r="46" spans="1:4" x14ac:dyDescent="0.35">
      <c r="A46">
        <v>10</v>
      </c>
      <c r="B46">
        <v>24</v>
      </c>
      <c r="C46">
        <v>38</v>
      </c>
      <c r="D46">
        <v>70</v>
      </c>
    </row>
    <row r="47" spans="1:4" x14ac:dyDescent="0.35">
      <c r="A47">
        <v>11</v>
      </c>
      <c r="B47">
        <v>25</v>
      </c>
      <c r="C47">
        <v>39</v>
      </c>
      <c r="D47">
        <v>71</v>
      </c>
    </row>
    <row r="48" spans="1:4" x14ac:dyDescent="0.35">
      <c r="A48">
        <v>12</v>
      </c>
      <c r="B48">
        <v>26</v>
      </c>
      <c r="C48">
        <v>40</v>
      </c>
      <c r="D48">
        <v>72</v>
      </c>
    </row>
    <row r="49" spans="1:4" x14ac:dyDescent="0.35">
      <c r="A49">
        <v>13</v>
      </c>
      <c r="B49">
        <v>27</v>
      </c>
      <c r="C49">
        <v>41</v>
      </c>
      <c r="D49">
        <v>55</v>
      </c>
    </row>
    <row r="50" spans="1:4" x14ac:dyDescent="0.35">
      <c r="A50">
        <v>14</v>
      </c>
      <c r="B50">
        <v>28</v>
      </c>
      <c r="C50">
        <v>42</v>
      </c>
      <c r="D50">
        <v>56</v>
      </c>
    </row>
    <row r="51" spans="1:4" x14ac:dyDescent="0.35">
      <c r="A51">
        <v>15</v>
      </c>
      <c r="B51">
        <v>29</v>
      </c>
      <c r="C51">
        <v>43</v>
      </c>
      <c r="D51">
        <v>57</v>
      </c>
    </row>
    <row r="52" spans="1:4" x14ac:dyDescent="0.35">
      <c r="A52">
        <v>16</v>
      </c>
      <c r="B52">
        <v>30</v>
      </c>
      <c r="C52">
        <v>44</v>
      </c>
      <c r="D52">
        <v>58</v>
      </c>
    </row>
    <row r="53" spans="1:4" x14ac:dyDescent="0.35">
      <c r="A53">
        <v>17</v>
      </c>
      <c r="B53">
        <v>31</v>
      </c>
      <c r="C53">
        <v>45</v>
      </c>
      <c r="D53">
        <v>59</v>
      </c>
    </row>
    <row r="54" spans="1:4" x14ac:dyDescent="0.35">
      <c r="A54">
        <v>18</v>
      </c>
      <c r="B54">
        <v>32</v>
      </c>
      <c r="C54">
        <v>46</v>
      </c>
      <c r="D54">
        <v>60</v>
      </c>
    </row>
    <row r="55" spans="1:4" x14ac:dyDescent="0.35">
      <c r="A55">
        <v>1</v>
      </c>
      <c r="B55">
        <v>31</v>
      </c>
      <c r="C55">
        <v>43</v>
      </c>
      <c r="D55">
        <v>55</v>
      </c>
    </row>
    <row r="56" spans="1:4" x14ac:dyDescent="0.35">
      <c r="A56">
        <v>2</v>
      </c>
      <c r="B56">
        <v>32</v>
      </c>
      <c r="C56">
        <v>44</v>
      </c>
      <c r="D56">
        <v>56</v>
      </c>
    </row>
    <row r="57" spans="1:4" x14ac:dyDescent="0.35">
      <c r="A57">
        <v>3</v>
      </c>
      <c r="B57">
        <v>33</v>
      </c>
      <c r="C57">
        <v>45</v>
      </c>
      <c r="D57">
        <v>57</v>
      </c>
    </row>
    <row r="58" spans="1:4" x14ac:dyDescent="0.35">
      <c r="A58">
        <v>4</v>
      </c>
      <c r="B58">
        <v>34</v>
      </c>
      <c r="C58">
        <v>46</v>
      </c>
      <c r="D58">
        <v>58</v>
      </c>
    </row>
    <row r="59" spans="1:4" x14ac:dyDescent="0.35">
      <c r="A59">
        <v>5</v>
      </c>
      <c r="B59">
        <v>35</v>
      </c>
      <c r="C59">
        <v>47</v>
      </c>
      <c r="D59">
        <v>59</v>
      </c>
    </row>
    <row r="60" spans="1:4" x14ac:dyDescent="0.35">
      <c r="A60">
        <v>6</v>
      </c>
      <c r="B60">
        <v>36</v>
      </c>
      <c r="C60">
        <v>48</v>
      </c>
      <c r="D60">
        <v>60</v>
      </c>
    </row>
    <row r="61" spans="1:4" x14ac:dyDescent="0.35">
      <c r="A61">
        <v>7</v>
      </c>
      <c r="B61">
        <v>19</v>
      </c>
      <c r="C61">
        <v>49</v>
      </c>
      <c r="D61">
        <v>61</v>
      </c>
    </row>
    <row r="62" spans="1:4" x14ac:dyDescent="0.35">
      <c r="A62">
        <v>8</v>
      </c>
      <c r="B62">
        <v>20</v>
      </c>
      <c r="C62">
        <v>50</v>
      </c>
      <c r="D62">
        <v>62</v>
      </c>
    </row>
    <row r="63" spans="1:4" x14ac:dyDescent="0.35">
      <c r="A63">
        <v>9</v>
      </c>
      <c r="B63">
        <v>21</v>
      </c>
      <c r="C63">
        <v>51</v>
      </c>
      <c r="D63">
        <v>63</v>
      </c>
    </row>
    <row r="64" spans="1:4" x14ac:dyDescent="0.35">
      <c r="A64">
        <v>10</v>
      </c>
      <c r="B64">
        <v>22</v>
      </c>
      <c r="C64">
        <v>52</v>
      </c>
      <c r="D64">
        <v>64</v>
      </c>
    </row>
    <row r="65" spans="1:4" x14ac:dyDescent="0.35">
      <c r="A65">
        <v>11</v>
      </c>
      <c r="B65">
        <v>23</v>
      </c>
      <c r="C65">
        <v>53</v>
      </c>
      <c r="D65">
        <v>65</v>
      </c>
    </row>
    <row r="66" spans="1:4" x14ac:dyDescent="0.35">
      <c r="A66">
        <v>12</v>
      </c>
      <c r="B66">
        <v>24</v>
      </c>
      <c r="C66">
        <v>54</v>
      </c>
      <c r="D66">
        <v>66</v>
      </c>
    </row>
    <row r="67" spans="1:4" x14ac:dyDescent="0.35">
      <c r="A67">
        <v>13</v>
      </c>
      <c r="B67">
        <v>25</v>
      </c>
      <c r="C67">
        <v>37</v>
      </c>
      <c r="D67">
        <v>67</v>
      </c>
    </row>
    <row r="68" spans="1:4" x14ac:dyDescent="0.35">
      <c r="A68">
        <v>14</v>
      </c>
      <c r="B68">
        <v>26</v>
      </c>
      <c r="C68">
        <v>38</v>
      </c>
      <c r="D68">
        <v>68</v>
      </c>
    </row>
    <row r="69" spans="1:4" x14ac:dyDescent="0.35">
      <c r="A69">
        <v>15</v>
      </c>
      <c r="B69">
        <v>27</v>
      </c>
      <c r="C69">
        <v>39</v>
      </c>
      <c r="D69">
        <v>69</v>
      </c>
    </row>
    <row r="70" spans="1:4" x14ac:dyDescent="0.35">
      <c r="A70">
        <v>16</v>
      </c>
      <c r="B70">
        <v>28</v>
      </c>
      <c r="C70">
        <v>40</v>
      </c>
      <c r="D70">
        <v>70</v>
      </c>
    </row>
    <row r="71" spans="1:4" x14ac:dyDescent="0.35">
      <c r="A71">
        <v>17</v>
      </c>
      <c r="B71">
        <v>29</v>
      </c>
      <c r="C71">
        <v>41</v>
      </c>
      <c r="D71">
        <v>71</v>
      </c>
    </row>
    <row r="72" spans="1:4" x14ac:dyDescent="0.35">
      <c r="A72">
        <v>18</v>
      </c>
      <c r="B72">
        <v>30</v>
      </c>
      <c r="C72">
        <v>42</v>
      </c>
      <c r="D72">
        <v>72</v>
      </c>
    </row>
    <row r="73" spans="1:4" x14ac:dyDescent="0.35">
      <c r="A73">
        <v>10</v>
      </c>
      <c r="B73">
        <v>45</v>
      </c>
      <c r="C73">
        <v>62</v>
      </c>
      <c r="D73">
        <v>7</v>
      </c>
    </row>
    <row r="74" spans="1:4" x14ac:dyDescent="0.35">
      <c r="A74">
        <v>11</v>
      </c>
      <c r="B74">
        <v>28</v>
      </c>
      <c r="C74">
        <v>63</v>
      </c>
      <c r="D74">
        <v>8</v>
      </c>
    </row>
    <row r="75" spans="1:4" x14ac:dyDescent="0.35">
      <c r="A75">
        <v>12</v>
      </c>
      <c r="B75">
        <v>29</v>
      </c>
      <c r="C75">
        <v>46</v>
      </c>
      <c r="D75">
        <v>9</v>
      </c>
    </row>
    <row r="76" spans="1:4" x14ac:dyDescent="0.35">
      <c r="A76">
        <v>13</v>
      </c>
      <c r="B76">
        <v>30</v>
      </c>
      <c r="C76">
        <v>47</v>
      </c>
      <c r="D76">
        <v>64</v>
      </c>
    </row>
    <row r="77" spans="1:4" x14ac:dyDescent="0.35">
      <c r="A77">
        <v>14</v>
      </c>
      <c r="B77">
        <v>31</v>
      </c>
      <c r="C77">
        <v>48</v>
      </c>
      <c r="D77">
        <v>65</v>
      </c>
    </row>
    <row r="78" spans="1:4" x14ac:dyDescent="0.35">
      <c r="A78">
        <v>15</v>
      </c>
      <c r="B78">
        <v>32</v>
      </c>
      <c r="C78">
        <v>49</v>
      </c>
      <c r="D78">
        <v>66</v>
      </c>
    </row>
    <row r="79" spans="1:4" x14ac:dyDescent="0.35">
      <c r="A79">
        <v>16</v>
      </c>
      <c r="B79">
        <v>33</v>
      </c>
      <c r="C79">
        <v>50</v>
      </c>
      <c r="D79">
        <v>67</v>
      </c>
    </row>
    <row r="80" spans="1:4" x14ac:dyDescent="0.35">
      <c r="A80">
        <v>17</v>
      </c>
      <c r="B80">
        <v>34</v>
      </c>
      <c r="C80">
        <v>51</v>
      </c>
      <c r="D80">
        <v>68</v>
      </c>
    </row>
    <row r="81" spans="1:4" x14ac:dyDescent="0.35">
      <c r="A81">
        <v>18</v>
      </c>
      <c r="B81">
        <v>35</v>
      </c>
      <c r="C81">
        <v>52</v>
      </c>
      <c r="D81">
        <v>69</v>
      </c>
    </row>
    <row r="82" spans="1:4" x14ac:dyDescent="0.35">
      <c r="A82">
        <v>19</v>
      </c>
      <c r="B82">
        <v>36</v>
      </c>
      <c r="C82">
        <v>53</v>
      </c>
      <c r="D82">
        <v>70</v>
      </c>
    </row>
    <row r="83" spans="1:4" x14ac:dyDescent="0.35">
      <c r="A83">
        <v>20</v>
      </c>
      <c r="B83">
        <v>37</v>
      </c>
      <c r="C83">
        <v>54</v>
      </c>
      <c r="D83">
        <v>71</v>
      </c>
    </row>
    <row r="84" spans="1:4" x14ac:dyDescent="0.35">
      <c r="A84">
        <v>21</v>
      </c>
      <c r="B84">
        <v>38</v>
      </c>
      <c r="C84">
        <v>55</v>
      </c>
      <c r="D84">
        <v>72</v>
      </c>
    </row>
    <row r="85" spans="1:4" x14ac:dyDescent="0.35">
      <c r="A85">
        <v>22</v>
      </c>
      <c r="B85">
        <v>39</v>
      </c>
      <c r="C85">
        <v>56</v>
      </c>
      <c r="D85">
        <v>1</v>
      </c>
    </row>
    <row r="86" spans="1:4" x14ac:dyDescent="0.35">
      <c r="A86">
        <v>23</v>
      </c>
      <c r="B86">
        <v>40</v>
      </c>
      <c r="C86">
        <v>57</v>
      </c>
      <c r="D86">
        <v>2</v>
      </c>
    </row>
    <row r="87" spans="1:4" x14ac:dyDescent="0.35">
      <c r="A87">
        <v>24</v>
      </c>
      <c r="B87">
        <v>41</v>
      </c>
      <c r="C87">
        <v>58</v>
      </c>
      <c r="D87">
        <v>3</v>
      </c>
    </row>
    <row r="88" spans="1:4" x14ac:dyDescent="0.35">
      <c r="A88">
        <v>25</v>
      </c>
      <c r="B88">
        <v>42</v>
      </c>
      <c r="C88">
        <v>59</v>
      </c>
      <c r="D88">
        <v>4</v>
      </c>
    </row>
    <row r="89" spans="1:4" x14ac:dyDescent="0.35">
      <c r="A89">
        <v>26</v>
      </c>
      <c r="B89">
        <v>43</v>
      </c>
      <c r="C89">
        <v>60</v>
      </c>
      <c r="D89">
        <v>5</v>
      </c>
    </row>
    <row r="90" spans="1:4" x14ac:dyDescent="0.35">
      <c r="A90">
        <v>27</v>
      </c>
      <c r="B90">
        <v>44</v>
      </c>
      <c r="C90">
        <v>61</v>
      </c>
      <c r="D90">
        <v>6</v>
      </c>
    </row>
    <row r="91" spans="1:4" x14ac:dyDescent="0.35">
      <c r="A91">
        <v>10</v>
      </c>
      <c r="B91">
        <v>43</v>
      </c>
      <c r="C91">
        <v>58</v>
      </c>
      <c r="D91">
        <v>1</v>
      </c>
    </row>
    <row r="92" spans="1:4" x14ac:dyDescent="0.35">
      <c r="A92">
        <v>11</v>
      </c>
      <c r="B92">
        <v>44</v>
      </c>
      <c r="C92">
        <v>59</v>
      </c>
      <c r="D92">
        <v>2</v>
      </c>
    </row>
    <row r="93" spans="1:4" x14ac:dyDescent="0.35">
      <c r="A93">
        <v>12</v>
      </c>
      <c r="B93">
        <v>45</v>
      </c>
      <c r="C93">
        <v>60</v>
      </c>
      <c r="D93">
        <v>3</v>
      </c>
    </row>
    <row r="94" spans="1:4" x14ac:dyDescent="0.35">
      <c r="A94">
        <v>13</v>
      </c>
      <c r="B94">
        <v>28</v>
      </c>
      <c r="C94">
        <v>61</v>
      </c>
      <c r="D94">
        <v>4</v>
      </c>
    </row>
    <row r="95" spans="1:4" x14ac:dyDescent="0.35">
      <c r="A95">
        <v>14</v>
      </c>
      <c r="B95">
        <v>29</v>
      </c>
      <c r="C95">
        <v>62</v>
      </c>
      <c r="D95">
        <v>5</v>
      </c>
    </row>
    <row r="96" spans="1:4" x14ac:dyDescent="0.35">
      <c r="A96">
        <v>15</v>
      </c>
      <c r="B96">
        <v>30</v>
      </c>
      <c r="C96">
        <v>63</v>
      </c>
      <c r="D96">
        <v>6</v>
      </c>
    </row>
    <row r="97" spans="1:4" x14ac:dyDescent="0.35">
      <c r="A97">
        <v>16</v>
      </c>
      <c r="B97">
        <v>31</v>
      </c>
      <c r="C97">
        <v>46</v>
      </c>
      <c r="D97">
        <v>7</v>
      </c>
    </row>
    <row r="98" spans="1:4" x14ac:dyDescent="0.35">
      <c r="A98">
        <v>17</v>
      </c>
      <c r="B98">
        <v>32</v>
      </c>
      <c r="C98">
        <v>47</v>
      </c>
      <c r="D98">
        <v>8</v>
      </c>
    </row>
    <row r="99" spans="1:4" x14ac:dyDescent="0.35">
      <c r="A99">
        <v>18</v>
      </c>
      <c r="B99">
        <v>33</v>
      </c>
      <c r="C99">
        <v>48</v>
      </c>
      <c r="D99">
        <v>9</v>
      </c>
    </row>
    <row r="100" spans="1:4" x14ac:dyDescent="0.35">
      <c r="A100">
        <v>19</v>
      </c>
      <c r="B100">
        <v>34</v>
      </c>
      <c r="C100">
        <v>49</v>
      </c>
      <c r="D100">
        <v>64</v>
      </c>
    </row>
    <row r="101" spans="1:4" x14ac:dyDescent="0.35">
      <c r="A101">
        <v>20</v>
      </c>
      <c r="B101">
        <v>35</v>
      </c>
      <c r="C101">
        <v>50</v>
      </c>
      <c r="D101">
        <v>65</v>
      </c>
    </row>
    <row r="102" spans="1:4" x14ac:dyDescent="0.35">
      <c r="A102">
        <v>21</v>
      </c>
      <c r="B102">
        <v>36</v>
      </c>
      <c r="C102">
        <v>51</v>
      </c>
      <c r="D102">
        <v>66</v>
      </c>
    </row>
    <row r="103" spans="1:4" x14ac:dyDescent="0.35">
      <c r="A103">
        <v>22</v>
      </c>
      <c r="B103">
        <v>37</v>
      </c>
      <c r="C103">
        <v>52</v>
      </c>
      <c r="D103">
        <v>67</v>
      </c>
    </row>
    <row r="104" spans="1:4" x14ac:dyDescent="0.35">
      <c r="A104">
        <v>23</v>
      </c>
      <c r="B104">
        <v>38</v>
      </c>
      <c r="C104">
        <v>53</v>
      </c>
      <c r="D104">
        <v>68</v>
      </c>
    </row>
    <row r="105" spans="1:4" x14ac:dyDescent="0.35">
      <c r="A105">
        <v>24</v>
      </c>
      <c r="B105">
        <v>39</v>
      </c>
      <c r="C105">
        <v>54</v>
      </c>
      <c r="D105">
        <v>69</v>
      </c>
    </row>
    <row r="106" spans="1:4" x14ac:dyDescent="0.35">
      <c r="A106">
        <v>25</v>
      </c>
      <c r="B106">
        <v>40</v>
      </c>
      <c r="C106">
        <v>55</v>
      </c>
      <c r="D106">
        <v>70</v>
      </c>
    </row>
    <row r="107" spans="1:4" x14ac:dyDescent="0.35">
      <c r="A107">
        <v>26</v>
      </c>
      <c r="B107">
        <v>41</v>
      </c>
      <c r="C107">
        <v>56</v>
      </c>
      <c r="D107">
        <v>71</v>
      </c>
    </row>
    <row r="108" spans="1:4" x14ac:dyDescent="0.35">
      <c r="A108">
        <v>27</v>
      </c>
      <c r="B108">
        <v>42</v>
      </c>
      <c r="C108">
        <v>57</v>
      </c>
      <c r="D108">
        <v>72</v>
      </c>
    </row>
    <row r="109" spans="1:4" x14ac:dyDescent="0.35">
      <c r="A109">
        <v>10</v>
      </c>
      <c r="B109">
        <v>41</v>
      </c>
      <c r="C109">
        <v>54</v>
      </c>
      <c r="D109">
        <v>67</v>
      </c>
    </row>
    <row r="110" spans="1:4" x14ac:dyDescent="0.35">
      <c r="A110">
        <v>11</v>
      </c>
      <c r="B110">
        <v>42</v>
      </c>
      <c r="C110">
        <v>55</v>
      </c>
      <c r="D110">
        <v>68</v>
      </c>
    </row>
    <row r="111" spans="1:4" x14ac:dyDescent="0.35">
      <c r="A111">
        <v>12</v>
      </c>
      <c r="B111">
        <v>43</v>
      </c>
      <c r="C111">
        <v>56</v>
      </c>
      <c r="D111">
        <v>69</v>
      </c>
    </row>
    <row r="112" spans="1:4" x14ac:dyDescent="0.35">
      <c r="A112">
        <v>13</v>
      </c>
      <c r="B112">
        <v>44</v>
      </c>
      <c r="C112">
        <v>57</v>
      </c>
      <c r="D112">
        <v>70</v>
      </c>
    </row>
    <row r="113" spans="1:4" x14ac:dyDescent="0.35">
      <c r="A113">
        <v>14</v>
      </c>
      <c r="B113">
        <v>45</v>
      </c>
      <c r="C113">
        <v>58</v>
      </c>
      <c r="D113">
        <v>71</v>
      </c>
    </row>
    <row r="114" spans="1:4" x14ac:dyDescent="0.35">
      <c r="A114">
        <v>15</v>
      </c>
      <c r="B114">
        <v>28</v>
      </c>
      <c r="C114">
        <v>59</v>
      </c>
      <c r="D114">
        <v>72</v>
      </c>
    </row>
    <row r="115" spans="1:4" x14ac:dyDescent="0.35">
      <c r="A115">
        <v>16</v>
      </c>
      <c r="B115">
        <v>29</v>
      </c>
      <c r="C115">
        <v>60</v>
      </c>
      <c r="D115">
        <v>1</v>
      </c>
    </row>
    <row r="116" spans="1:4" x14ac:dyDescent="0.35">
      <c r="A116">
        <v>17</v>
      </c>
      <c r="B116">
        <v>30</v>
      </c>
      <c r="C116">
        <v>61</v>
      </c>
      <c r="D116">
        <v>2</v>
      </c>
    </row>
    <row r="117" spans="1:4" x14ac:dyDescent="0.35">
      <c r="A117">
        <v>18</v>
      </c>
      <c r="B117">
        <v>31</v>
      </c>
      <c r="C117">
        <v>62</v>
      </c>
      <c r="D117">
        <v>3</v>
      </c>
    </row>
    <row r="118" spans="1:4" x14ac:dyDescent="0.35">
      <c r="A118">
        <v>19</v>
      </c>
      <c r="B118">
        <v>32</v>
      </c>
      <c r="C118">
        <v>63</v>
      </c>
      <c r="D118">
        <v>4</v>
      </c>
    </row>
    <row r="119" spans="1:4" x14ac:dyDescent="0.35">
      <c r="A119">
        <v>20</v>
      </c>
      <c r="B119">
        <v>33</v>
      </c>
      <c r="C119">
        <v>46</v>
      </c>
      <c r="D119">
        <v>5</v>
      </c>
    </row>
    <row r="120" spans="1:4" x14ac:dyDescent="0.35">
      <c r="A120">
        <v>21</v>
      </c>
      <c r="B120">
        <v>34</v>
      </c>
      <c r="C120">
        <v>47</v>
      </c>
      <c r="D120">
        <v>6</v>
      </c>
    </row>
    <row r="121" spans="1:4" x14ac:dyDescent="0.35">
      <c r="A121">
        <v>22</v>
      </c>
      <c r="B121">
        <v>35</v>
      </c>
      <c r="C121">
        <v>48</v>
      </c>
      <c r="D121">
        <v>7</v>
      </c>
    </row>
    <row r="122" spans="1:4" x14ac:dyDescent="0.35">
      <c r="A122">
        <v>23</v>
      </c>
      <c r="B122">
        <v>36</v>
      </c>
      <c r="C122">
        <v>49</v>
      </c>
      <c r="D122">
        <v>8</v>
      </c>
    </row>
    <row r="123" spans="1:4" x14ac:dyDescent="0.35">
      <c r="A123">
        <v>24</v>
      </c>
      <c r="B123">
        <v>37</v>
      </c>
      <c r="C123">
        <v>50</v>
      </c>
      <c r="D123">
        <v>9</v>
      </c>
    </row>
    <row r="124" spans="1:4" x14ac:dyDescent="0.35">
      <c r="A124">
        <v>25</v>
      </c>
      <c r="B124">
        <v>38</v>
      </c>
      <c r="C124">
        <v>51</v>
      </c>
      <c r="D124">
        <v>64</v>
      </c>
    </row>
    <row r="125" spans="1:4" x14ac:dyDescent="0.35">
      <c r="A125">
        <v>26</v>
      </c>
      <c r="B125">
        <v>39</v>
      </c>
      <c r="C125">
        <v>52</v>
      </c>
      <c r="D125">
        <v>65</v>
      </c>
    </row>
    <row r="126" spans="1:4" x14ac:dyDescent="0.35">
      <c r="A126">
        <v>27</v>
      </c>
      <c r="B126">
        <v>40</v>
      </c>
      <c r="C126">
        <v>53</v>
      </c>
      <c r="D126">
        <v>66</v>
      </c>
    </row>
    <row r="127" spans="1:4" x14ac:dyDescent="0.35">
      <c r="A127">
        <v>10</v>
      </c>
      <c r="B127">
        <v>39</v>
      </c>
      <c r="C127">
        <v>50</v>
      </c>
      <c r="D127">
        <v>7</v>
      </c>
    </row>
    <row r="128" spans="1:4" x14ac:dyDescent="0.35">
      <c r="A128">
        <v>11</v>
      </c>
      <c r="B128">
        <v>40</v>
      </c>
      <c r="C128">
        <v>51</v>
      </c>
      <c r="D128">
        <v>8</v>
      </c>
    </row>
    <row r="129" spans="1:4" x14ac:dyDescent="0.35">
      <c r="A129">
        <v>12</v>
      </c>
      <c r="B129">
        <v>41</v>
      </c>
      <c r="C129">
        <v>52</v>
      </c>
      <c r="D129">
        <v>9</v>
      </c>
    </row>
    <row r="130" spans="1:4" x14ac:dyDescent="0.35">
      <c r="A130">
        <v>13</v>
      </c>
      <c r="B130">
        <v>42</v>
      </c>
      <c r="C130">
        <v>53</v>
      </c>
      <c r="D130">
        <v>64</v>
      </c>
    </row>
    <row r="131" spans="1:4" x14ac:dyDescent="0.35">
      <c r="A131">
        <v>14</v>
      </c>
      <c r="B131">
        <v>43</v>
      </c>
      <c r="C131">
        <v>54</v>
      </c>
      <c r="D131">
        <v>65</v>
      </c>
    </row>
    <row r="132" spans="1:4" x14ac:dyDescent="0.35">
      <c r="A132">
        <v>15</v>
      </c>
      <c r="B132">
        <v>44</v>
      </c>
      <c r="C132">
        <v>55</v>
      </c>
      <c r="D132">
        <v>66</v>
      </c>
    </row>
    <row r="133" spans="1:4" x14ac:dyDescent="0.35">
      <c r="A133">
        <v>16</v>
      </c>
      <c r="B133">
        <v>45</v>
      </c>
      <c r="C133">
        <v>56</v>
      </c>
      <c r="D133">
        <v>67</v>
      </c>
    </row>
    <row r="134" spans="1:4" x14ac:dyDescent="0.35">
      <c r="A134">
        <v>17</v>
      </c>
      <c r="B134">
        <v>28</v>
      </c>
      <c r="C134">
        <v>57</v>
      </c>
      <c r="D134">
        <v>68</v>
      </c>
    </row>
    <row r="135" spans="1:4" x14ac:dyDescent="0.35">
      <c r="A135">
        <v>18</v>
      </c>
      <c r="B135">
        <v>29</v>
      </c>
      <c r="C135">
        <v>58</v>
      </c>
      <c r="D135">
        <v>69</v>
      </c>
    </row>
    <row r="136" spans="1:4" x14ac:dyDescent="0.35">
      <c r="A136">
        <v>19</v>
      </c>
      <c r="B136">
        <v>30</v>
      </c>
      <c r="C136">
        <v>59</v>
      </c>
      <c r="D136">
        <v>70</v>
      </c>
    </row>
    <row r="137" spans="1:4" x14ac:dyDescent="0.35">
      <c r="A137">
        <v>20</v>
      </c>
      <c r="B137">
        <v>31</v>
      </c>
      <c r="C137">
        <v>60</v>
      </c>
      <c r="D137">
        <v>71</v>
      </c>
    </row>
    <row r="138" spans="1:4" x14ac:dyDescent="0.35">
      <c r="A138">
        <v>21</v>
      </c>
      <c r="B138">
        <v>32</v>
      </c>
      <c r="C138">
        <v>61</v>
      </c>
      <c r="D138">
        <v>72</v>
      </c>
    </row>
    <row r="139" spans="1:4" x14ac:dyDescent="0.35">
      <c r="A139">
        <v>22</v>
      </c>
      <c r="B139">
        <v>33</v>
      </c>
      <c r="C139">
        <v>62</v>
      </c>
      <c r="D139">
        <v>1</v>
      </c>
    </row>
    <row r="140" spans="1:4" x14ac:dyDescent="0.35">
      <c r="A140">
        <v>23</v>
      </c>
      <c r="B140">
        <v>34</v>
      </c>
      <c r="C140">
        <v>63</v>
      </c>
      <c r="D140">
        <v>2</v>
      </c>
    </row>
    <row r="141" spans="1:4" x14ac:dyDescent="0.35">
      <c r="A141">
        <v>24</v>
      </c>
      <c r="B141">
        <v>35</v>
      </c>
      <c r="C141">
        <v>46</v>
      </c>
      <c r="D141">
        <v>3</v>
      </c>
    </row>
    <row r="142" spans="1:4" x14ac:dyDescent="0.35">
      <c r="A142">
        <v>25</v>
      </c>
      <c r="B142">
        <v>36</v>
      </c>
      <c r="C142">
        <v>47</v>
      </c>
      <c r="D142">
        <v>4</v>
      </c>
    </row>
    <row r="143" spans="1:4" x14ac:dyDescent="0.35">
      <c r="A143">
        <v>26</v>
      </c>
      <c r="B143">
        <v>37</v>
      </c>
      <c r="C143">
        <v>48</v>
      </c>
      <c r="D143">
        <v>5</v>
      </c>
    </row>
    <row r="144" spans="1:4" x14ac:dyDescent="0.35">
      <c r="A144">
        <v>27</v>
      </c>
      <c r="B144">
        <v>38</v>
      </c>
      <c r="C144">
        <v>49</v>
      </c>
      <c r="D144">
        <v>6</v>
      </c>
    </row>
  </sheetData>
  <conditionalFormatting sqref="A1:D9 A11:D11">
    <cfRule type="cellIs" dxfId="240" priority="26" operator="between">
      <formula>#REF!</formula>
      <formula>#REF!</formula>
    </cfRule>
    <cfRule type="cellIs" dxfId="239" priority="27" operator="between">
      <formula>#REF!</formula>
      <formula>#REF!</formula>
    </cfRule>
    <cfRule type="cellIs" dxfId="238" priority="28" operator="between">
      <formula>#REF!</formula>
      <formula>#REF!</formula>
    </cfRule>
    <cfRule type="cellIs" dxfId="237" priority="29" operator="between">
      <formula>#REF!</formula>
      <formula>#REF!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4">
    <pageSetUpPr fitToPage="1"/>
  </sheetPr>
  <dimension ref="A1:P47"/>
  <sheetViews>
    <sheetView topLeftCell="A7"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21</v>
      </c>
      <c r="C4" s="58">
        <v>41</v>
      </c>
      <c r="D4" s="59">
        <v>61</v>
      </c>
      <c r="E4" s="57">
        <v>1</v>
      </c>
      <c r="F4" s="58">
        <v>37</v>
      </c>
      <c r="G4" s="86">
        <v>53</v>
      </c>
      <c r="H4" s="59">
        <v>69</v>
      </c>
      <c r="I4" s="57">
        <v>1</v>
      </c>
      <c r="J4" s="58">
        <v>39</v>
      </c>
      <c r="K4" s="58">
        <v>57</v>
      </c>
      <c r="L4" s="90">
        <v>75</v>
      </c>
      <c r="M4" s="57">
        <v>1</v>
      </c>
      <c r="N4" s="86">
        <v>35</v>
      </c>
      <c r="O4" s="58">
        <v>49</v>
      </c>
      <c r="P4" s="59">
        <v>63</v>
      </c>
    </row>
    <row r="5" spans="1:16" x14ac:dyDescent="0.35">
      <c r="A5" s="82">
        <v>2</v>
      </c>
      <c r="B5" s="55">
        <v>22</v>
      </c>
      <c r="C5" s="55">
        <v>42</v>
      </c>
      <c r="D5" s="56">
        <v>62</v>
      </c>
      <c r="E5" s="75">
        <v>2</v>
      </c>
      <c r="F5" s="76">
        <v>38</v>
      </c>
      <c r="G5" s="87">
        <v>54</v>
      </c>
      <c r="H5" s="77">
        <v>70</v>
      </c>
      <c r="I5" s="49">
        <v>2</v>
      </c>
      <c r="J5" s="50">
        <v>40</v>
      </c>
      <c r="K5" s="50">
        <v>58</v>
      </c>
      <c r="L5" s="91">
        <v>76</v>
      </c>
      <c r="M5" s="75">
        <v>2</v>
      </c>
      <c r="N5" s="87">
        <v>36</v>
      </c>
      <c r="O5" s="76">
        <v>50</v>
      </c>
      <c r="P5" s="77">
        <v>64</v>
      </c>
    </row>
    <row r="6" spans="1:16" x14ac:dyDescent="0.35">
      <c r="A6" s="83">
        <v>3</v>
      </c>
      <c r="B6" s="61">
        <v>23</v>
      </c>
      <c r="C6" s="61">
        <v>43</v>
      </c>
      <c r="D6" s="62">
        <v>63</v>
      </c>
      <c r="E6" s="60">
        <v>3</v>
      </c>
      <c r="F6" s="61">
        <v>39</v>
      </c>
      <c r="G6" s="88">
        <v>55</v>
      </c>
      <c r="H6" s="62">
        <v>71</v>
      </c>
      <c r="I6" s="60">
        <v>3</v>
      </c>
      <c r="J6" s="61">
        <v>21</v>
      </c>
      <c r="K6" s="61">
        <v>59</v>
      </c>
      <c r="L6" s="92">
        <v>77</v>
      </c>
      <c r="M6" s="60">
        <v>3</v>
      </c>
      <c r="N6" s="88">
        <v>37</v>
      </c>
      <c r="O6" s="61">
        <v>51</v>
      </c>
      <c r="P6" s="62">
        <v>65</v>
      </c>
    </row>
    <row r="7" spans="1:16" x14ac:dyDescent="0.35">
      <c r="A7" s="82">
        <v>4</v>
      </c>
      <c r="B7" s="55">
        <v>24</v>
      </c>
      <c r="C7" s="55">
        <v>44</v>
      </c>
      <c r="D7" s="56">
        <v>64</v>
      </c>
      <c r="E7" s="75">
        <v>4</v>
      </c>
      <c r="F7" s="76">
        <v>40</v>
      </c>
      <c r="G7" s="87">
        <v>56</v>
      </c>
      <c r="H7" s="77">
        <v>72</v>
      </c>
      <c r="I7" s="49">
        <v>4</v>
      </c>
      <c r="J7" s="50">
        <v>22</v>
      </c>
      <c r="K7" s="50">
        <v>60</v>
      </c>
      <c r="L7" s="91">
        <v>78</v>
      </c>
      <c r="M7" s="75">
        <v>4</v>
      </c>
      <c r="N7" s="87">
        <v>38</v>
      </c>
      <c r="O7" s="76">
        <v>52</v>
      </c>
      <c r="P7" s="77">
        <v>66</v>
      </c>
    </row>
    <row r="8" spans="1:16" x14ac:dyDescent="0.35">
      <c r="A8" s="83">
        <v>5</v>
      </c>
      <c r="B8" s="61">
        <v>25</v>
      </c>
      <c r="C8" s="61">
        <v>45</v>
      </c>
      <c r="D8" s="62">
        <v>65</v>
      </c>
      <c r="E8" s="60">
        <v>5</v>
      </c>
      <c r="F8" s="61">
        <v>21</v>
      </c>
      <c r="G8" s="88">
        <v>57</v>
      </c>
      <c r="H8" s="62">
        <v>73</v>
      </c>
      <c r="I8" s="60">
        <v>5</v>
      </c>
      <c r="J8" s="61">
        <v>23</v>
      </c>
      <c r="K8" s="61">
        <v>41</v>
      </c>
      <c r="L8" s="92">
        <v>79</v>
      </c>
      <c r="M8" s="60">
        <v>5</v>
      </c>
      <c r="N8" s="88">
        <v>39</v>
      </c>
      <c r="O8" s="61">
        <v>53</v>
      </c>
      <c r="P8" s="62">
        <v>67</v>
      </c>
    </row>
    <row r="9" spans="1:16" x14ac:dyDescent="0.35">
      <c r="A9" s="82">
        <v>6</v>
      </c>
      <c r="B9" s="55">
        <v>26</v>
      </c>
      <c r="C9" s="55">
        <v>46</v>
      </c>
      <c r="D9" s="56">
        <v>66</v>
      </c>
      <c r="E9" s="75">
        <v>6</v>
      </c>
      <c r="F9" s="76">
        <v>22</v>
      </c>
      <c r="G9" s="87">
        <v>58</v>
      </c>
      <c r="H9" s="77">
        <v>74</v>
      </c>
      <c r="I9" s="49">
        <v>6</v>
      </c>
      <c r="J9" s="50">
        <v>24</v>
      </c>
      <c r="K9" s="50">
        <v>42</v>
      </c>
      <c r="L9" s="91">
        <v>80</v>
      </c>
      <c r="M9" s="75">
        <v>6</v>
      </c>
      <c r="N9" s="87">
        <v>40</v>
      </c>
      <c r="O9" s="76">
        <v>54</v>
      </c>
      <c r="P9" s="77">
        <v>68</v>
      </c>
    </row>
    <row r="10" spans="1:16" x14ac:dyDescent="0.35">
      <c r="A10" s="83">
        <v>7</v>
      </c>
      <c r="B10" s="61">
        <v>27</v>
      </c>
      <c r="C10" s="61">
        <v>47</v>
      </c>
      <c r="D10" s="62">
        <v>67</v>
      </c>
      <c r="E10" s="60">
        <v>7</v>
      </c>
      <c r="F10" s="61">
        <v>23</v>
      </c>
      <c r="G10" s="88">
        <v>59</v>
      </c>
      <c r="H10" s="62">
        <v>75</v>
      </c>
      <c r="I10" s="60">
        <v>7</v>
      </c>
      <c r="J10" s="61">
        <v>25</v>
      </c>
      <c r="K10" s="61">
        <v>43</v>
      </c>
      <c r="L10" s="92">
        <v>61</v>
      </c>
      <c r="M10" s="60">
        <v>7</v>
      </c>
      <c r="N10" s="88">
        <v>21</v>
      </c>
      <c r="O10" s="61">
        <v>55</v>
      </c>
      <c r="P10" s="62">
        <v>69</v>
      </c>
    </row>
    <row r="11" spans="1:16" x14ac:dyDescent="0.35">
      <c r="A11" s="84">
        <v>8</v>
      </c>
      <c r="B11" s="50">
        <v>28</v>
      </c>
      <c r="C11" s="50">
        <v>48</v>
      </c>
      <c r="D11" s="51">
        <v>68</v>
      </c>
      <c r="E11" s="75">
        <v>8</v>
      </c>
      <c r="F11" s="76">
        <v>24</v>
      </c>
      <c r="G11" s="87">
        <v>60</v>
      </c>
      <c r="H11" s="77">
        <v>76</v>
      </c>
      <c r="I11" s="49">
        <v>8</v>
      </c>
      <c r="J11" s="50">
        <v>26</v>
      </c>
      <c r="K11" s="50">
        <v>44</v>
      </c>
      <c r="L11" s="91">
        <v>62</v>
      </c>
      <c r="M11" s="75">
        <v>8</v>
      </c>
      <c r="N11" s="87">
        <v>22</v>
      </c>
      <c r="O11" s="76">
        <v>56</v>
      </c>
      <c r="P11" s="77">
        <v>70</v>
      </c>
    </row>
    <row r="12" spans="1:16" x14ac:dyDescent="0.35">
      <c r="A12" s="83">
        <v>9</v>
      </c>
      <c r="B12" s="61">
        <v>29</v>
      </c>
      <c r="C12" s="61">
        <v>49</v>
      </c>
      <c r="D12" s="62">
        <v>69</v>
      </c>
      <c r="E12" s="60">
        <v>9</v>
      </c>
      <c r="F12" s="61">
        <v>25</v>
      </c>
      <c r="G12" s="88">
        <v>41</v>
      </c>
      <c r="H12" s="62">
        <v>77</v>
      </c>
      <c r="I12" s="60">
        <v>9</v>
      </c>
      <c r="J12" s="61">
        <v>27</v>
      </c>
      <c r="K12" s="61">
        <v>45</v>
      </c>
      <c r="L12" s="92">
        <v>63</v>
      </c>
      <c r="M12" s="60">
        <v>9</v>
      </c>
      <c r="N12" s="88">
        <v>23</v>
      </c>
      <c r="O12" s="61">
        <v>57</v>
      </c>
      <c r="P12" s="62">
        <v>71</v>
      </c>
    </row>
    <row r="13" spans="1:16" x14ac:dyDescent="0.35">
      <c r="A13" s="84">
        <v>10</v>
      </c>
      <c r="B13" s="50">
        <v>30</v>
      </c>
      <c r="C13" s="50">
        <v>50</v>
      </c>
      <c r="D13" s="51">
        <v>70</v>
      </c>
      <c r="E13" s="75">
        <v>10</v>
      </c>
      <c r="F13" s="76">
        <v>26</v>
      </c>
      <c r="G13" s="87">
        <v>42</v>
      </c>
      <c r="H13" s="77">
        <v>78</v>
      </c>
      <c r="I13" s="49">
        <v>10</v>
      </c>
      <c r="J13" s="50">
        <v>28</v>
      </c>
      <c r="K13" s="50">
        <v>46</v>
      </c>
      <c r="L13" s="91">
        <v>64</v>
      </c>
      <c r="M13" s="75">
        <v>10</v>
      </c>
      <c r="N13" s="87">
        <v>24</v>
      </c>
      <c r="O13" s="76">
        <v>58</v>
      </c>
      <c r="P13" s="77">
        <v>72</v>
      </c>
    </row>
    <row r="14" spans="1:16" x14ac:dyDescent="0.35">
      <c r="A14" s="83">
        <v>11</v>
      </c>
      <c r="B14" s="61">
        <v>31</v>
      </c>
      <c r="C14" s="61">
        <v>51</v>
      </c>
      <c r="D14" s="62">
        <v>71</v>
      </c>
      <c r="E14" s="60">
        <v>11</v>
      </c>
      <c r="F14" s="61">
        <v>27</v>
      </c>
      <c r="G14" s="88">
        <v>43</v>
      </c>
      <c r="H14" s="62">
        <v>79</v>
      </c>
      <c r="I14" s="60">
        <v>11</v>
      </c>
      <c r="J14" s="61">
        <v>29</v>
      </c>
      <c r="K14" s="61">
        <v>47</v>
      </c>
      <c r="L14" s="92">
        <v>65</v>
      </c>
      <c r="M14" s="60">
        <v>11</v>
      </c>
      <c r="N14" s="88">
        <v>25</v>
      </c>
      <c r="O14" s="61">
        <v>59</v>
      </c>
      <c r="P14" s="62">
        <v>73</v>
      </c>
    </row>
    <row r="15" spans="1:16" x14ac:dyDescent="0.35">
      <c r="A15" s="84">
        <v>12</v>
      </c>
      <c r="B15" s="50">
        <v>32</v>
      </c>
      <c r="C15" s="50">
        <v>52</v>
      </c>
      <c r="D15" s="51">
        <v>72</v>
      </c>
      <c r="E15" s="75">
        <v>12</v>
      </c>
      <c r="F15" s="76">
        <v>28</v>
      </c>
      <c r="G15" s="87">
        <v>44</v>
      </c>
      <c r="H15" s="77">
        <v>80</v>
      </c>
      <c r="I15" s="49">
        <v>12</v>
      </c>
      <c r="J15" s="50">
        <v>30</v>
      </c>
      <c r="K15" s="50">
        <v>48</v>
      </c>
      <c r="L15" s="91">
        <v>66</v>
      </c>
      <c r="M15" s="75">
        <v>12</v>
      </c>
      <c r="N15" s="87">
        <v>26</v>
      </c>
      <c r="O15" s="76">
        <v>60</v>
      </c>
      <c r="P15" s="77">
        <v>74</v>
      </c>
    </row>
    <row r="16" spans="1:16" x14ac:dyDescent="0.35">
      <c r="A16" s="83">
        <v>13</v>
      </c>
      <c r="B16" s="61">
        <v>33</v>
      </c>
      <c r="C16" s="61">
        <v>53</v>
      </c>
      <c r="D16" s="62">
        <v>73</v>
      </c>
      <c r="E16" s="60">
        <v>13</v>
      </c>
      <c r="F16" s="61">
        <v>29</v>
      </c>
      <c r="G16" s="88">
        <v>45</v>
      </c>
      <c r="H16" s="62">
        <v>61</v>
      </c>
      <c r="I16" s="60">
        <v>13</v>
      </c>
      <c r="J16" s="61">
        <v>31</v>
      </c>
      <c r="K16" s="61">
        <v>49</v>
      </c>
      <c r="L16" s="92">
        <v>67</v>
      </c>
      <c r="M16" s="60">
        <v>13</v>
      </c>
      <c r="N16" s="88">
        <v>27</v>
      </c>
      <c r="O16" s="61">
        <v>41</v>
      </c>
      <c r="P16" s="62">
        <v>75</v>
      </c>
    </row>
    <row r="17" spans="1:16" x14ac:dyDescent="0.35">
      <c r="A17" s="84">
        <v>14</v>
      </c>
      <c r="B17" s="50">
        <v>34</v>
      </c>
      <c r="C17" s="50">
        <v>54</v>
      </c>
      <c r="D17" s="51">
        <v>74</v>
      </c>
      <c r="E17" s="75">
        <v>14</v>
      </c>
      <c r="F17" s="76">
        <v>30</v>
      </c>
      <c r="G17" s="87">
        <v>46</v>
      </c>
      <c r="H17" s="77">
        <v>62</v>
      </c>
      <c r="I17" s="49">
        <v>14</v>
      </c>
      <c r="J17" s="50">
        <v>32</v>
      </c>
      <c r="K17" s="50">
        <v>50</v>
      </c>
      <c r="L17" s="91">
        <v>68</v>
      </c>
      <c r="M17" s="75">
        <v>14</v>
      </c>
      <c r="N17" s="87">
        <v>28</v>
      </c>
      <c r="O17" s="76">
        <v>42</v>
      </c>
      <c r="P17" s="77">
        <v>76</v>
      </c>
    </row>
    <row r="18" spans="1:16" x14ac:dyDescent="0.35">
      <c r="A18" s="83">
        <v>15</v>
      </c>
      <c r="B18" s="61">
        <v>35</v>
      </c>
      <c r="C18" s="61">
        <v>55</v>
      </c>
      <c r="D18" s="62">
        <v>75</v>
      </c>
      <c r="E18" s="60">
        <v>15</v>
      </c>
      <c r="F18" s="61">
        <v>31</v>
      </c>
      <c r="G18" s="88">
        <v>47</v>
      </c>
      <c r="H18" s="62">
        <v>63</v>
      </c>
      <c r="I18" s="60">
        <v>15</v>
      </c>
      <c r="J18" s="61">
        <v>33</v>
      </c>
      <c r="K18" s="61">
        <v>51</v>
      </c>
      <c r="L18" s="92">
        <v>69</v>
      </c>
      <c r="M18" s="60">
        <v>15</v>
      </c>
      <c r="N18" s="88">
        <v>29</v>
      </c>
      <c r="O18" s="61">
        <v>43</v>
      </c>
      <c r="P18" s="62">
        <v>77</v>
      </c>
    </row>
    <row r="19" spans="1:16" x14ac:dyDescent="0.35">
      <c r="A19" s="84">
        <v>16</v>
      </c>
      <c r="B19" s="50">
        <v>36</v>
      </c>
      <c r="C19" s="50">
        <v>56</v>
      </c>
      <c r="D19" s="51">
        <v>76</v>
      </c>
      <c r="E19" s="75">
        <v>16</v>
      </c>
      <c r="F19" s="76">
        <v>32</v>
      </c>
      <c r="G19" s="87">
        <v>48</v>
      </c>
      <c r="H19" s="77">
        <v>64</v>
      </c>
      <c r="I19" s="49">
        <v>16</v>
      </c>
      <c r="J19" s="50">
        <v>34</v>
      </c>
      <c r="K19" s="50">
        <v>52</v>
      </c>
      <c r="L19" s="91">
        <v>70</v>
      </c>
      <c r="M19" s="75">
        <v>16</v>
      </c>
      <c r="N19" s="87">
        <v>30</v>
      </c>
      <c r="O19" s="76">
        <v>44</v>
      </c>
      <c r="P19" s="77">
        <v>78</v>
      </c>
    </row>
    <row r="20" spans="1:16" x14ac:dyDescent="0.35">
      <c r="A20" s="83">
        <v>17</v>
      </c>
      <c r="B20" s="61">
        <v>37</v>
      </c>
      <c r="C20" s="61">
        <v>57</v>
      </c>
      <c r="D20" s="62">
        <v>77</v>
      </c>
      <c r="E20" s="60">
        <v>17</v>
      </c>
      <c r="F20" s="61">
        <v>33</v>
      </c>
      <c r="G20" s="88">
        <v>49</v>
      </c>
      <c r="H20" s="62">
        <v>65</v>
      </c>
      <c r="I20" s="60">
        <v>17</v>
      </c>
      <c r="J20" s="61">
        <v>35</v>
      </c>
      <c r="K20" s="61">
        <v>53</v>
      </c>
      <c r="L20" s="92">
        <v>71</v>
      </c>
      <c r="M20" s="60">
        <v>17</v>
      </c>
      <c r="N20" s="88">
        <v>31</v>
      </c>
      <c r="O20" s="61">
        <v>45</v>
      </c>
      <c r="P20" s="62">
        <v>79</v>
      </c>
    </row>
    <row r="21" spans="1:16" x14ac:dyDescent="0.35">
      <c r="A21" s="84">
        <v>18</v>
      </c>
      <c r="B21" s="50">
        <v>38</v>
      </c>
      <c r="C21" s="50">
        <v>58</v>
      </c>
      <c r="D21" s="51">
        <v>78</v>
      </c>
      <c r="E21" s="75">
        <v>18</v>
      </c>
      <c r="F21" s="76">
        <v>34</v>
      </c>
      <c r="G21" s="87">
        <v>50</v>
      </c>
      <c r="H21" s="77">
        <v>66</v>
      </c>
      <c r="I21" s="49">
        <v>18</v>
      </c>
      <c r="J21" s="50">
        <v>36</v>
      </c>
      <c r="K21" s="50">
        <v>54</v>
      </c>
      <c r="L21" s="91">
        <v>72</v>
      </c>
      <c r="M21" s="75">
        <v>18</v>
      </c>
      <c r="N21" s="87">
        <v>32</v>
      </c>
      <c r="O21" s="76">
        <v>46</v>
      </c>
      <c r="P21" s="77">
        <v>80</v>
      </c>
    </row>
    <row r="22" spans="1:16" x14ac:dyDescent="0.35">
      <c r="A22" s="83">
        <v>19</v>
      </c>
      <c r="B22" s="61">
        <v>39</v>
      </c>
      <c r="C22" s="61">
        <v>59</v>
      </c>
      <c r="D22" s="62">
        <v>79</v>
      </c>
      <c r="E22" s="60">
        <v>19</v>
      </c>
      <c r="F22" s="61">
        <v>35</v>
      </c>
      <c r="G22" s="88">
        <v>51</v>
      </c>
      <c r="H22" s="62">
        <v>67</v>
      </c>
      <c r="I22" s="60">
        <v>19</v>
      </c>
      <c r="J22" s="61">
        <v>37</v>
      </c>
      <c r="K22" s="61">
        <v>55</v>
      </c>
      <c r="L22" s="92">
        <v>73</v>
      </c>
      <c r="M22" s="60">
        <v>19</v>
      </c>
      <c r="N22" s="88">
        <v>33</v>
      </c>
      <c r="O22" s="61">
        <v>47</v>
      </c>
      <c r="P22" s="62">
        <v>61</v>
      </c>
    </row>
    <row r="23" spans="1:16" ht="15" thickBot="1" x14ac:dyDescent="0.4">
      <c r="A23" s="85">
        <v>20</v>
      </c>
      <c r="B23" s="53">
        <v>40</v>
      </c>
      <c r="C23" s="53">
        <v>60</v>
      </c>
      <c r="D23" s="54">
        <v>80</v>
      </c>
      <c r="E23" s="78">
        <v>20</v>
      </c>
      <c r="F23" s="79">
        <v>36</v>
      </c>
      <c r="G23" s="89">
        <v>52</v>
      </c>
      <c r="H23" s="80">
        <v>68</v>
      </c>
      <c r="I23" s="52">
        <v>20</v>
      </c>
      <c r="J23" s="53">
        <v>38</v>
      </c>
      <c r="K23" s="53">
        <v>56</v>
      </c>
      <c r="L23" s="93">
        <v>74</v>
      </c>
      <c r="M23" s="78">
        <v>20</v>
      </c>
      <c r="N23" s="89">
        <v>34</v>
      </c>
      <c r="O23" s="79">
        <v>48</v>
      </c>
      <c r="P23" s="80">
        <v>62</v>
      </c>
    </row>
    <row r="24" spans="1:16" ht="15" thickBot="1" x14ac:dyDescent="0.4"/>
    <row r="25" spans="1:16" x14ac:dyDescent="0.35">
      <c r="A25" s="108" t="s">
        <v>34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10"/>
    </row>
    <row r="26" spans="1:16" ht="5.25" customHeight="1" thickBot="1" x14ac:dyDescent="0.4">
      <c r="A26" s="111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3"/>
    </row>
    <row r="27" spans="1:16" ht="15" thickBot="1" x14ac:dyDescent="0.4">
      <c r="A27" s="102" t="s">
        <v>30</v>
      </c>
      <c r="B27" s="103"/>
      <c r="C27" s="103"/>
      <c r="D27" s="104"/>
      <c r="E27" s="105" t="s">
        <v>31</v>
      </c>
      <c r="F27" s="106"/>
      <c r="G27" s="106"/>
      <c r="H27" s="107"/>
      <c r="I27" s="102" t="s">
        <v>32</v>
      </c>
      <c r="J27" s="103"/>
      <c r="K27" s="103"/>
      <c r="L27" s="104"/>
      <c r="M27" s="105" t="s">
        <v>33</v>
      </c>
      <c r="N27" s="106"/>
      <c r="O27" s="106"/>
      <c r="P27" s="107"/>
    </row>
    <row r="28" spans="1:16" x14ac:dyDescent="0.35">
      <c r="A28" s="57">
        <v>11</v>
      </c>
      <c r="B28" s="86">
        <v>46</v>
      </c>
      <c r="C28" s="58">
        <v>61</v>
      </c>
      <c r="D28" s="59">
        <v>76</v>
      </c>
      <c r="E28" s="57">
        <v>11</v>
      </c>
      <c r="F28" s="58">
        <v>48</v>
      </c>
      <c r="G28" s="58">
        <v>65</v>
      </c>
      <c r="H28" s="90">
        <v>2</v>
      </c>
      <c r="I28" s="57">
        <v>11</v>
      </c>
      <c r="J28" s="58">
        <v>50</v>
      </c>
      <c r="K28" s="86">
        <v>69</v>
      </c>
      <c r="L28" s="59">
        <v>8</v>
      </c>
      <c r="M28" s="81">
        <v>11</v>
      </c>
      <c r="N28" s="58">
        <v>44</v>
      </c>
      <c r="O28" s="58">
        <v>57</v>
      </c>
      <c r="P28" s="59">
        <v>10</v>
      </c>
    </row>
    <row r="29" spans="1:16" x14ac:dyDescent="0.35">
      <c r="A29" s="94">
        <v>12</v>
      </c>
      <c r="B29" s="95">
        <v>47</v>
      </c>
      <c r="C29" s="55">
        <v>62</v>
      </c>
      <c r="D29" s="56">
        <v>77</v>
      </c>
      <c r="E29" s="75">
        <v>12</v>
      </c>
      <c r="F29" s="76">
        <v>49</v>
      </c>
      <c r="G29" s="76">
        <v>66</v>
      </c>
      <c r="H29" s="98">
        <v>3</v>
      </c>
      <c r="I29" s="49">
        <v>12</v>
      </c>
      <c r="J29" s="50">
        <v>31</v>
      </c>
      <c r="K29" s="96">
        <v>70</v>
      </c>
      <c r="L29" s="51">
        <v>9</v>
      </c>
      <c r="M29" s="100">
        <v>12</v>
      </c>
      <c r="N29" s="76">
        <v>45</v>
      </c>
      <c r="O29" s="76">
        <v>58</v>
      </c>
      <c r="P29" s="77">
        <v>71</v>
      </c>
    </row>
    <row r="30" spans="1:16" x14ac:dyDescent="0.35">
      <c r="A30" s="60">
        <v>13</v>
      </c>
      <c r="B30" s="88">
        <v>48</v>
      </c>
      <c r="C30" s="61">
        <v>63</v>
      </c>
      <c r="D30" s="62">
        <v>78</v>
      </c>
      <c r="E30" s="60">
        <v>13</v>
      </c>
      <c r="F30" s="61">
        <v>50</v>
      </c>
      <c r="G30" s="61">
        <v>67</v>
      </c>
      <c r="H30" s="92">
        <v>4</v>
      </c>
      <c r="I30" s="60">
        <v>13</v>
      </c>
      <c r="J30" s="61">
        <v>32</v>
      </c>
      <c r="K30" s="88">
        <v>51</v>
      </c>
      <c r="L30" s="62">
        <v>10</v>
      </c>
      <c r="M30" s="83">
        <v>13</v>
      </c>
      <c r="N30" s="61">
        <v>46</v>
      </c>
      <c r="O30" s="61">
        <v>59</v>
      </c>
      <c r="P30" s="62">
        <v>72</v>
      </c>
    </row>
    <row r="31" spans="1:16" x14ac:dyDescent="0.35">
      <c r="A31" s="94">
        <v>14</v>
      </c>
      <c r="B31" s="95">
        <v>49</v>
      </c>
      <c r="C31" s="55">
        <v>64</v>
      </c>
      <c r="D31" s="56">
        <v>79</v>
      </c>
      <c r="E31" s="75">
        <v>14</v>
      </c>
      <c r="F31" s="76">
        <v>31</v>
      </c>
      <c r="G31" s="76">
        <v>68</v>
      </c>
      <c r="H31" s="98">
        <v>5</v>
      </c>
      <c r="I31" s="49">
        <v>14</v>
      </c>
      <c r="J31" s="50">
        <v>33</v>
      </c>
      <c r="K31" s="96">
        <v>52</v>
      </c>
      <c r="L31" s="51">
        <v>71</v>
      </c>
      <c r="M31" s="100">
        <v>14</v>
      </c>
      <c r="N31" s="76">
        <v>47</v>
      </c>
      <c r="O31" s="76">
        <v>60</v>
      </c>
      <c r="P31" s="77">
        <v>73</v>
      </c>
    </row>
    <row r="32" spans="1:16" x14ac:dyDescent="0.35">
      <c r="A32" s="60">
        <v>15</v>
      </c>
      <c r="B32" s="88">
        <v>50</v>
      </c>
      <c r="C32" s="61">
        <v>65</v>
      </c>
      <c r="D32" s="62">
        <v>80</v>
      </c>
      <c r="E32" s="60">
        <v>15</v>
      </c>
      <c r="F32" s="61">
        <v>32</v>
      </c>
      <c r="G32" s="61">
        <v>69</v>
      </c>
      <c r="H32" s="92">
        <v>6</v>
      </c>
      <c r="I32" s="60">
        <v>15</v>
      </c>
      <c r="J32" s="61">
        <v>34</v>
      </c>
      <c r="K32" s="88">
        <v>53</v>
      </c>
      <c r="L32" s="62">
        <v>72</v>
      </c>
      <c r="M32" s="83">
        <v>15</v>
      </c>
      <c r="N32" s="61">
        <v>48</v>
      </c>
      <c r="O32" s="61">
        <v>61</v>
      </c>
      <c r="P32" s="62">
        <v>74</v>
      </c>
    </row>
    <row r="33" spans="1:16" x14ac:dyDescent="0.35">
      <c r="A33" s="94">
        <v>16</v>
      </c>
      <c r="B33" s="95">
        <v>31</v>
      </c>
      <c r="C33" s="55">
        <v>66</v>
      </c>
      <c r="D33" s="56">
        <v>1</v>
      </c>
      <c r="E33" s="75">
        <v>16</v>
      </c>
      <c r="F33" s="76">
        <v>33</v>
      </c>
      <c r="G33" s="76">
        <v>70</v>
      </c>
      <c r="H33" s="98">
        <v>7</v>
      </c>
      <c r="I33" s="49">
        <v>16</v>
      </c>
      <c r="J33" s="50">
        <v>35</v>
      </c>
      <c r="K33" s="96">
        <v>54</v>
      </c>
      <c r="L33" s="51">
        <v>73</v>
      </c>
      <c r="M33" s="100">
        <v>16</v>
      </c>
      <c r="N33" s="76">
        <v>49</v>
      </c>
      <c r="O33" s="76">
        <v>62</v>
      </c>
      <c r="P33" s="77">
        <v>75</v>
      </c>
    </row>
    <row r="34" spans="1:16" x14ac:dyDescent="0.35">
      <c r="A34" s="60">
        <v>17</v>
      </c>
      <c r="B34" s="88">
        <v>32</v>
      </c>
      <c r="C34" s="61">
        <v>67</v>
      </c>
      <c r="D34" s="62">
        <v>2</v>
      </c>
      <c r="E34" s="60">
        <v>17</v>
      </c>
      <c r="F34" s="61">
        <v>34</v>
      </c>
      <c r="G34" s="61">
        <v>51</v>
      </c>
      <c r="H34" s="92">
        <v>8</v>
      </c>
      <c r="I34" s="60">
        <v>17</v>
      </c>
      <c r="J34" s="61">
        <v>36</v>
      </c>
      <c r="K34" s="88">
        <v>55</v>
      </c>
      <c r="L34" s="62">
        <v>74</v>
      </c>
      <c r="M34" s="83">
        <v>17</v>
      </c>
      <c r="N34" s="61">
        <v>50</v>
      </c>
      <c r="O34" s="61">
        <v>63</v>
      </c>
      <c r="P34" s="62">
        <v>76</v>
      </c>
    </row>
    <row r="35" spans="1:16" x14ac:dyDescent="0.35">
      <c r="A35" s="49">
        <v>18</v>
      </c>
      <c r="B35" s="96">
        <v>33</v>
      </c>
      <c r="C35" s="50">
        <v>68</v>
      </c>
      <c r="D35" s="51">
        <v>3</v>
      </c>
      <c r="E35" s="75">
        <v>18</v>
      </c>
      <c r="F35" s="76">
        <v>35</v>
      </c>
      <c r="G35" s="76">
        <v>52</v>
      </c>
      <c r="H35" s="98">
        <v>9</v>
      </c>
      <c r="I35" s="49">
        <v>18</v>
      </c>
      <c r="J35" s="50">
        <v>37</v>
      </c>
      <c r="K35" s="96">
        <v>56</v>
      </c>
      <c r="L35" s="51">
        <v>75</v>
      </c>
      <c r="M35" s="100">
        <v>18</v>
      </c>
      <c r="N35" s="76">
        <v>31</v>
      </c>
      <c r="O35" s="76">
        <v>64</v>
      </c>
      <c r="P35" s="77">
        <v>77</v>
      </c>
    </row>
    <row r="36" spans="1:16" x14ac:dyDescent="0.35">
      <c r="A36" s="60">
        <v>19</v>
      </c>
      <c r="B36" s="88">
        <v>34</v>
      </c>
      <c r="C36" s="61">
        <v>69</v>
      </c>
      <c r="D36" s="62">
        <v>4</v>
      </c>
      <c r="E36" s="60">
        <v>19</v>
      </c>
      <c r="F36" s="61">
        <v>36</v>
      </c>
      <c r="G36" s="61">
        <v>53</v>
      </c>
      <c r="H36" s="92">
        <v>10</v>
      </c>
      <c r="I36" s="60">
        <v>19</v>
      </c>
      <c r="J36" s="61">
        <v>38</v>
      </c>
      <c r="K36" s="88">
        <v>57</v>
      </c>
      <c r="L36" s="62">
        <v>76</v>
      </c>
      <c r="M36" s="83">
        <v>19</v>
      </c>
      <c r="N36" s="61">
        <v>32</v>
      </c>
      <c r="O36" s="61">
        <v>65</v>
      </c>
      <c r="P36" s="62">
        <v>78</v>
      </c>
    </row>
    <row r="37" spans="1:16" x14ac:dyDescent="0.35">
      <c r="A37" s="49">
        <v>20</v>
      </c>
      <c r="B37" s="96">
        <v>35</v>
      </c>
      <c r="C37" s="50">
        <v>70</v>
      </c>
      <c r="D37" s="51">
        <v>5</v>
      </c>
      <c r="E37" s="75">
        <v>20</v>
      </c>
      <c r="F37" s="76">
        <v>37</v>
      </c>
      <c r="G37" s="76">
        <v>54</v>
      </c>
      <c r="H37" s="98">
        <v>71</v>
      </c>
      <c r="I37" s="49">
        <v>20</v>
      </c>
      <c r="J37" s="50">
        <v>39</v>
      </c>
      <c r="K37" s="96">
        <v>58</v>
      </c>
      <c r="L37" s="51">
        <v>77</v>
      </c>
      <c r="M37" s="100">
        <v>20</v>
      </c>
      <c r="N37" s="76">
        <v>33</v>
      </c>
      <c r="O37" s="76">
        <v>66</v>
      </c>
      <c r="P37" s="77">
        <v>79</v>
      </c>
    </row>
    <row r="38" spans="1:16" x14ac:dyDescent="0.35">
      <c r="A38" s="60">
        <v>21</v>
      </c>
      <c r="B38" s="88">
        <v>36</v>
      </c>
      <c r="C38" s="61">
        <v>51</v>
      </c>
      <c r="D38" s="62">
        <v>6</v>
      </c>
      <c r="E38" s="60">
        <v>21</v>
      </c>
      <c r="F38" s="61">
        <v>38</v>
      </c>
      <c r="G38" s="61">
        <v>55</v>
      </c>
      <c r="H38" s="92">
        <v>72</v>
      </c>
      <c r="I38" s="60">
        <v>21</v>
      </c>
      <c r="J38" s="61">
        <v>40</v>
      </c>
      <c r="K38" s="88">
        <v>59</v>
      </c>
      <c r="L38" s="62">
        <v>78</v>
      </c>
      <c r="M38" s="83">
        <v>21</v>
      </c>
      <c r="N38" s="61">
        <v>34</v>
      </c>
      <c r="O38" s="61">
        <v>67</v>
      </c>
      <c r="P38" s="62">
        <v>80</v>
      </c>
    </row>
    <row r="39" spans="1:16" x14ac:dyDescent="0.35">
      <c r="A39" s="49">
        <v>22</v>
      </c>
      <c r="B39" s="96">
        <v>37</v>
      </c>
      <c r="C39" s="50">
        <v>52</v>
      </c>
      <c r="D39" s="51">
        <v>7</v>
      </c>
      <c r="E39" s="75">
        <v>22</v>
      </c>
      <c r="F39" s="76">
        <v>39</v>
      </c>
      <c r="G39" s="76">
        <v>56</v>
      </c>
      <c r="H39" s="98">
        <v>73</v>
      </c>
      <c r="I39" s="49">
        <v>22</v>
      </c>
      <c r="J39" s="50">
        <v>41</v>
      </c>
      <c r="K39" s="96">
        <v>60</v>
      </c>
      <c r="L39" s="51">
        <v>79</v>
      </c>
      <c r="M39" s="100">
        <v>22</v>
      </c>
      <c r="N39" s="76">
        <v>35</v>
      </c>
      <c r="O39" s="76">
        <v>68</v>
      </c>
      <c r="P39" s="77">
        <v>1</v>
      </c>
    </row>
    <row r="40" spans="1:16" x14ac:dyDescent="0.35">
      <c r="A40" s="60">
        <v>23</v>
      </c>
      <c r="B40" s="88">
        <v>38</v>
      </c>
      <c r="C40" s="61">
        <v>53</v>
      </c>
      <c r="D40" s="62">
        <v>8</v>
      </c>
      <c r="E40" s="60">
        <v>23</v>
      </c>
      <c r="F40" s="61">
        <v>40</v>
      </c>
      <c r="G40" s="61">
        <v>57</v>
      </c>
      <c r="H40" s="92">
        <v>74</v>
      </c>
      <c r="I40" s="60">
        <v>23</v>
      </c>
      <c r="J40" s="61">
        <v>42</v>
      </c>
      <c r="K40" s="88">
        <v>61</v>
      </c>
      <c r="L40" s="62">
        <v>80</v>
      </c>
      <c r="M40" s="83">
        <v>23</v>
      </c>
      <c r="N40" s="61">
        <v>36</v>
      </c>
      <c r="O40" s="61">
        <v>69</v>
      </c>
      <c r="P40" s="62">
        <v>2</v>
      </c>
    </row>
    <row r="41" spans="1:16" x14ac:dyDescent="0.35">
      <c r="A41" s="49">
        <v>24</v>
      </c>
      <c r="B41" s="96">
        <v>39</v>
      </c>
      <c r="C41" s="50">
        <v>54</v>
      </c>
      <c r="D41" s="51">
        <v>9</v>
      </c>
      <c r="E41" s="75">
        <v>24</v>
      </c>
      <c r="F41" s="76">
        <v>41</v>
      </c>
      <c r="G41" s="76">
        <v>58</v>
      </c>
      <c r="H41" s="98">
        <v>75</v>
      </c>
      <c r="I41" s="49">
        <v>24</v>
      </c>
      <c r="J41" s="50">
        <v>43</v>
      </c>
      <c r="K41" s="96">
        <v>62</v>
      </c>
      <c r="L41" s="51">
        <v>1</v>
      </c>
      <c r="M41" s="100">
        <v>24</v>
      </c>
      <c r="N41" s="76">
        <v>37</v>
      </c>
      <c r="O41" s="76">
        <v>70</v>
      </c>
      <c r="P41" s="77">
        <v>3</v>
      </c>
    </row>
    <row r="42" spans="1:16" x14ac:dyDescent="0.35">
      <c r="A42" s="60">
        <v>25</v>
      </c>
      <c r="B42" s="88">
        <v>40</v>
      </c>
      <c r="C42" s="61">
        <v>55</v>
      </c>
      <c r="D42" s="62">
        <v>10</v>
      </c>
      <c r="E42" s="60">
        <v>25</v>
      </c>
      <c r="F42" s="61">
        <v>42</v>
      </c>
      <c r="G42" s="61">
        <v>59</v>
      </c>
      <c r="H42" s="92">
        <v>76</v>
      </c>
      <c r="I42" s="60">
        <v>25</v>
      </c>
      <c r="J42" s="61">
        <v>44</v>
      </c>
      <c r="K42" s="88">
        <v>63</v>
      </c>
      <c r="L42" s="62">
        <v>2</v>
      </c>
      <c r="M42" s="83">
        <v>25</v>
      </c>
      <c r="N42" s="61">
        <v>38</v>
      </c>
      <c r="O42" s="61">
        <v>51</v>
      </c>
      <c r="P42" s="62">
        <v>4</v>
      </c>
    </row>
    <row r="43" spans="1:16" x14ac:dyDescent="0.35">
      <c r="A43" s="49">
        <v>26</v>
      </c>
      <c r="B43" s="96">
        <v>41</v>
      </c>
      <c r="C43" s="50">
        <v>56</v>
      </c>
      <c r="D43" s="51">
        <v>71</v>
      </c>
      <c r="E43" s="75">
        <v>26</v>
      </c>
      <c r="F43" s="76">
        <v>43</v>
      </c>
      <c r="G43" s="76">
        <v>60</v>
      </c>
      <c r="H43" s="98">
        <v>77</v>
      </c>
      <c r="I43" s="49">
        <v>26</v>
      </c>
      <c r="J43" s="50">
        <v>45</v>
      </c>
      <c r="K43" s="96">
        <v>64</v>
      </c>
      <c r="L43" s="51">
        <v>3</v>
      </c>
      <c r="M43" s="100">
        <v>26</v>
      </c>
      <c r="N43" s="76">
        <v>39</v>
      </c>
      <c r="O43" s="76">
        <v>52</v>
      </c>
      <c r="P43" s="77">
        <v>5</v>
      </c>
    </row>
    <row r="44" spans="1:16" x14ac:dyDescent="0.35">
      <c r="A44" s="60">
        <v>27</v>
      </c>
      <c r="B44" s="88">
        <v>42</v>
      </c>
      <c r="C44" s="61">
        <v>57</v>
      </c>
      <c r="D44" s="62">
        <v>72</v>
      </c>
      <c r="E44" s="60">
        <v>27</v>
      </c>
      <c r="F44" s="61">
        <v>44</v>
      </c>
      <c r="G44" s="61">
        <v>61</v>
      </c>
      <c r="H44" s="92">
        <v>78</v>
      </c>
      <c r="I44" s="60">
        <v>27</v>
      </c>
      <c r="J44" s="61">
        <v>46</v>
      </c>
      <c r="K44" s="88">
        <v>65</v>
      </c>
      <c r="L44" s="62">
        <v>4</v>
      </c>
      <c r="M44" s="83">
        <v>27</v>
      </c>
      <c r="N44" s="61">
        <v>40</v>
      </c>
      <c r="O44" s="61">
        <v>53</v>
      </c>
      <c r="P44" s="62">
        <v>6</v>
      </c>
    </row>
    <row r="45" spans="1:16" x14ac:dyDescent="0.35">
      <c r="A45" s="49">
        <v>28</v>
      </c>
      <c r="B45" s="96">
        <v>43</v>
      </c>
      <c r="C45" s="50">
        <v>58</v>
      </c>
      <c r="D45" s="51">
        <v>73</v>
      </c>
      <c r="E45" s="75">
        <v>28</v>
      </c>
      <c r="F45" s="76">
        <v>45</v>
      </c>
      <c r="G45" s="76">
        <v>62</v>
      </c>
      <c r="H45" s="98">
        <v>79</v>
      </c>
      <c r="I45" s="49">
        <v>28</v>
      </c>
      <c r="J45" s="50">
        <v>47</v>
      </c>
      <c r="K45" s="96">
        <v>66</v>
      </c>
      <c r="L45" s="51">
        <v>5</v>
      </c>
      <c r="M45" s="100">
        <v>28</v>
      </c>
      <c r="N45" s="76">
        <v>41</v>
      </c>
      <c r="O45" s="76">
        <v>54</v>
      </c>
      <c r="P45" s="77">
        <v>7</v>
      </c>
    </row>
    <row r="46" spans="1:16" x14ac:dyDescent="0.35">
      <c r="A46" s="60">
        <v>29</v>
      </c>
      <c r="B46" s="88">
        <v>44</v>
      </c>
      <c r="C46" s="61">
        <v>59</v>
      </c>
      <c r="D46" s="62">
        <v>74</v>
      </c>
      <c r="E46" s="60">
        <v>29</v>
      </c>
      <c r="F46" s="61">
        <v>46</v>
      </c>
      <c r="G46" s="61">
        <v>63</v>
      </c>
      <c r="H46" s="92">
        <v>80</v>
      </c>
      <c r="I46" s="60">
        <v>29</v>
      </c>
      <c r="J46" s="61">
        <v>48</v>
      </c>
      <c r="K46" s="88">
        <v>67</v>
      </c>
      <c r="L46" s="62">
        <v>6</v>
      </c>
      <c r="M46" s="83">
        <v>29</v>
      </c>
      <c r="N46" s="61">
        <v>42</v>
      </c>
      <c r="O46" s="61">
        <v>55</v>
      </c>
      <c r="P46" s="62">
        <v>8</v>
      </c>
    </row>
    <row r="47" spans="1:16" ht="15" thickBot="1" x14ac:dyDescent="0.4">
      <c r="A47" s="52">
        <v>30</v>
      </c>
      <c r="B47" s="97">
        <v>45</v>
      </c>
      <c r="C47" s="53">
        <v>60</v>
      </c>
      <c r="D47" s="54">
        <v>75</v>
      </c>
      <c r="E47" s="78">
        <v>30</v>
      </c>
      <c r="F47" s="79">
        <v>47</v>
      </c>
      <c r="G47" s="79">
        <v>64</v>
      </c>
      <c r="H47" s="99">
        <v>1</v>
      </c>
      <c r="I47" s="52">
        <v>30</v>
      </c>
      <c r="J47" s="53">
        <v>49</v>
      </c>
      <c r="K47" s="97">
        <v>68</v>
      </c>
      <c r="L47" s="54">
        <v>7</v>
      </c>
      <c r="M47" s="101">
        <v>30</v>
      </c>
      <c r="N47" s="79">
        <v>43</v>
      </c>
      <c r="O47" s="79">
        <v>56</v>
      </c>
      <c r="P47" s="80">
        <v>9</v>
      </c>
    </row>
  </sheetData>
  <mergeCells count="10">
    <mergeCell ref="I27:L27"/>
    <mergeCell ref="M27:P27"/>
    <mergeCell ref="A25:P26"/>
    <mergeCell ref="A1:P2"/>
    <mergeCell ref="A3:D3"/>
    <mergeCell ref="E3:H3"/>
    <mergeCell ref="I3:L3"/>
    <mergeCell ref="M3:P3"/>
    <mergeCell ref="A27:D27"/>
    <mergeCell ref="E27:H27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81" orientation="landscape" r:id="rId1"/>
  <headerFooter>
    <oddHeader>&amp;C&amp;"-,Tučné"&amp;16&amp;A hráčů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5"/>
  <dimension ref="A1:AL82"/>
  <sheetViews>
    <sheetView workbookViewId="0">
      <selection activeCell="E14" sqref="E14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2</v>
      </c>
      <c r="C1">
        <f>FLOOR(2*$B$2/32,1)</f>
        <v>5</v>
      </c>
      <c r="D1">
        <f>FLOOR(3*$B$2/32,1)</f>
        <v>7</v>
      </c>
      <c r="G1" s="6">
        <v>0</v>
      </c>
      <c r="H1" s="7">
        <v>0</v>
      </c>
      <c r="I1" s="7">
        <v>0</v>
      </c>
      <c r="J1" s="7">
        <v>0</v>
      </c>
      <c r="K1">
        <v>4</v>
      </c>
      <c r="L1">
        <v>4</v>
      </c>
      <c r="M1">
        <v>4</v>
      </c>
      <c r="N1">
        <v>4</v>
      </c>
      <c r="O1" s="8">
        <v>2</v>
      </c>
      <c r="P1" s="9">
        <v>2</v>
      </c>
      <c r="Q1" s="9">
        <v>2</v>
      </c>
      <c r="R1" s="10">
        <v>2</v>
      </c>
      <c r="S1">
        <v>6</v>
      </c>
      <c r="T1">
        <v>6</v>
      </c>
      <c r="U1">
        <v>6</v>
      </c>
      <c r="V1">
        <v>6</v>
      </c>
      <c r="W1" s="8">
        <v>5</v>
      </c>
      <c r="X1" s="9">
        <v>5</v>
      </c>
      <c r="Y1" s="9">
        <v>5</v>
      </c>
      <c r="Z1" s="10">
        <v>5</v>
      </c>
      <c r="AA1">
        <v>3</v>
      </c>
      <c r="AB1">
        <v>3</v>
      </c>
      <c r="AC1">
        <v>3</v>
      </c>
      <c r="AD1">
        <v>3</v>
      </c>
      <c r="AE1" s="8">
        <v>1</v>
      </c>
      <c r="AF1" s="9">
        <v>1</v>
      </c>
      <c r="AG1" s="9">
        <v>1</v>
      </c>
      <c r="AH1" s="10">
        <v>1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80</v>
      </c>
      <c r="C2">
        <v>4</v>
      </c>
      <c r="D2">
        <v>8</v>
      </c>
      <c r="E2">
        <v>10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G22" si="0">MOD($A3-G$1*G$2,$B$2/4)+G$2*$B$2/4+1</f>
        <v>1</v>
      </c>
      <c r="H3" s="64">
        <f t="shared" ref="H3:V18" si="1">MOD($A3-H$1*H$2,$B$2/4)+H$2*$B$2/4+1</f>
        <v>21</v>
      </c>
      <c r="I3" s="64">
        <f t="shared" si="1"/>
        <v>41</v>
      </c>
      <c r="J3" s="65">
        <f t="shared" si="1"/>
        <v>61</v>
      </c>
      <c r="K3" s="63">
        <f t="shared" si="1"/>
        <v>1</v>
      </c>
      <c r="L3" s="64">
        <f t="shared" si="1"/>
        <v>37</v>
      </c>
      <c r="M3" s="64">
        <f t="shared" si="1"/>
        <v>53</v>
      </c>
      <c r="N3" s="65">
        <f t="shared" si="1"/>
        <v>69</v>
      </c>
      <c r="O3" s="63">
        <f t="shared" si="1"/>
        <v>1</v>
      </c>
      <c r="P3" s="64">
        <f t="shared" si="1"/>
        <v>39</v>
      </c>
      <c r="Q3" s="64">
        <f t="shared" si="1"/>
        <v>57</v>
      </c>
      <c r="R3" s="65">
        <f t="shared" si="1"/>
        <v>75</v>
      </c>
      <c r="S3" s="63">
        <f t="shared" si="1"/>
        <v>1</v>
      </c>
      <c r="T3" s="64">
        <f t="shared" si="1"/>
        <v>35</v>
      </c>
      <c r="U3" s="64">
        <f t="shared" si="1"/>
        <v>49</v>
      </c>
      <c r="V3" s="68">
        <f t="shared" si="1"/>
        <v>63</v>
      </c>
      <c r="W3" s="70">
        <f>MOD(MOD($A3-W$1*W$2,$B$2/4)+W$2*$B$2/4+$B$2/8,$B$2)+1</f>
        <v>11</v>
      </c>
      <c r="X3" s="71">
        <f t="shared" ref="X3:AL3" si="2">MOD(MOD($A3-X$1*X$2,$B$2/4)+X$2*$B$2/4+$B$2/8,$B$2)+1</f>
        <v>46</v>
      </c>
      <c r="Y3" s="71">
        <f t="shared" si="2"/>
        <v>61</v>
      </c>
      <c r="Z3" s="72">
        <f t="shared" si="2"/>
        <v>76</v>
      </c>
      <c r="AA3" s="70">
        <f t="shared" si="2"/>
        <v>11</v>
      </c>
      <c r="AB3" s="71">
        <f t="shared" si="2"/>
        <v>48</v>
      </c>
      <c r="AC3" s="71">
        <f t="shared" si="2"/>
        <v>65</v>
      </c>
      <c r="AD3" s="72">
        <f t="shared" si="2"/>
        <v>2</v>
      </c>
      <c r="AE3" s="70">
        <f t="shared" si="2"/>
        <v>11</v>
      </c>
      <c r="AF3" s="71">
        <f t="shared" si="2"/>
        <v>50</v>
      </c>
      <c r="AG3" s="71">
        <f t="shared" si="2"/>
        <v>69</v>
      </c>
      <c r="AH3" s="72">
        <f t="shared" si="2"/>
        <v>8</v>
      </c>
      <c r="AI3" s="70">
        <f t="shared" si="2"/>
        <v>11</v>
      </c>
      <c r="AJ3" s="71">
        <f t="shared" si="2"/>
        <v>44</v>
      </c>
      <c r="AK3" s="71">
        <f t="shared" si="2"/>
        <v>57</v>
      </c>
      <c r="AL3" s="72">
        <f t="shared" si="2"/>
        <v>10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1"/>
        <v>22</v>
      </c>
      <c r="I4" s="40">
        <f t="shared" si="1"/>
        <v>42</v>
      </c>
      <c r="J4" s="66">
        <f t="shared" si="1"/>
        <v>62</v>
      </c>
      <c r="K4" s="43">
        <f t="shared" si="1"/>
        <v>2</v>
      </c>
      <c r="L4" s="40">
        <f t="shared" si="1"/>
        <v>38</v>
      </c>
      <c r="M4" s="40">
        <f t="shared" si="1"/>
        <v>54</v>
      </c>
      <c r="N4" s="66">
        <f t="shared" si="1"/>
        <v>70</v>
      </c>
      <c r="O4" s="43">
        <f t="shared" si="1"/>
        <v>2</v>
      </c>
      <c r="P4" s="40">
        <f t="shared" si="1"/>
        <v>40</v>
      </c>
      <c r="Q4" s="40">
        <f t="shared" si="1"/>
        <v>58</v>
      </c>
      <c r="R4" s="66">
        <f t="shared" si="1"/>
        <v>76</v>
      </c>
      <c r="S4" s="43">
        <f t="shared" si="1"/>
        <v>2</v>
      </c>
      <c r="T4" s="40">
        <f t="shared" si="1"/>
        <v>36</v>
      </c>
      <c r="U4" s="40">
        <f t="shared" si="1"/>
        <v>50</v>
      </c>
      <c r="V4" s="42">
        <f t="shared" si="1"/>
        <v>64</v>
      </c>
      <c r="W4" s="46">
        <f t="shared" ref="W4:AL19" si="3">MOD(MOD($A4-W$1*W$2,$B$2/4)+W$2*$B$2/4+$B$2/8,$B$2)+1</f>
        <v>12</v>
      </c>
      <c r="X4" s="41">
        <f t="shared" si="3"/>
        <v>47</v>
      </c>
      <c r="Y4" s="41">
        <f t="shared" si="3"/>
        <v>62</v>
      </c>
      <c r="Z4" s="73">
        <f t="shared" si="3"/>
        <v>77</v>
      </c>
      <c r="AA4" s="46">
        <f t="shared" si="3"/>
        <v>12</v>
      </c>
      <c r="AB4" s="41">
        <f t="shared" si="3"/>
        <v>49</v>
      </c>
      <c r="AC4" s="41">
        <f t="shared" si="3"/>
        <v>66</v>
      </c>
      <c r="AD4" s="73">
        <f t="shared" si="3"/>
        <v>3</v>
      </c>
      <c r="AE4" s="46">
        <f t="shared" si="3"/>
        <v>12</v>
      </c>
      <c r="AF4" s="41">
        <f t="shared" si="3"/>
        <v>31</v>
      </c>
      <c r="AG4" s="41">
        <f t="shared" si="3"/>
        <v>70</v>
      </c>
      <c r="AH4" s="73">
        <f t="shared" si="3"/>
        <v>9</v>
      </c>
      <c r="AI4" s="46">
        <f t="shared" si="3"/>
        <v>12</v>
      </c>
      <c r="AJ4" s="41">
        <f t="shared" si="3"/>
        <v>45</v>
      </c>
      <c r="AK4" s="41">
        <f t="shared" si="3"/>
        <v>58</v>
      </c>
      <c r="AL4" s="73">
        <f t="shared" si="3"/>
        <v>71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1"/>
        <v>23</v>
      </c>
      <c r="I5" s="40">
        <f t="shared" si="1"/>
        <v>43</v>
      </c>
      <c r="J5" s="66">
        <f t="shared" si="1"/>
        <v>63</v>
      </c>
      <c r="K5" s="43">
        <f t="shared" si="1"/>
        <v>3</v>
      </c>
      <c r="L5" s="40">
        <f t="shared" si="1"/>
        <v>39</v>
      </c>
      <c r="M5" s="40">
        <f t="shared" si="1"/>
        <v>55</v>
      </c>
      <c r="N5" s="66">
        <f t="shared" si="1"/>
        <v>71</v>
      </c>
      <c r="O5" s="43">
        <f t="shared" si="1"/>
        <v>3</v>
      </c>
      <c r="P5" s="40">
        <f t="shared" si="1"/>
        <v>21</v>
      </c>
      <c r="Q5" s="40">
        <f t="shared" si="1"/>
        <v>59</v>
      </c>
      <c r="R5" s="66">
        <f t="shared" si="1"/>
        <v>77</v>
      </c>
      <c r="S5" s="43">
        <f t="shared" si="1"/>
        <v>3</v>
      </c>
      <c r="T5" s="40">
        <f t="shared" si="1"/>
        <v>37</v>
      </c>
      <c r="U5" s="40">
        <f t="shared" si="1"/>
        <v>51</v>
      </c>
      <c r="V5" s="42">
        <f t="shared" si="1"/>
        <v>65</v>
      </c>
      <c r="W5" s="46">
        <f t="shared" si="3"/>
        <v>13</v>
      </c>
      <c r="X5" s="41">
        <f t="shared" si="3"/>
        <v>48</v>
      </c>
      <c r="Y5" s="41">
        <f t="shared" si="3"/>
        <v>63</v>
      </c>
      <c r="Z5" s="73">
        <f t="shared" si="3"/>
        <v>78</v>
      </c>
      <c r="AA5" s="46">
        <f t="shared" si="3"/>
        <v>13</v>
      </c>
      <c r="AB5" s="41">
        <f t="shared" si="3"/>
        <v>50</v>
      </c>
      <c r="AC5" s="41">
        <f t="shared" si="3"/>
        <v>67</v>
      </c>
      <c r="AD5" s="73">
        <f t="shared" si="3"/>
        <v>4</v>
      </c>
      <c r="AE5" s="46">
        <f t="shared" si="3"/>
        <v>13</v>
      </c>
      <c r="AF5" s="41">
        <f t="shared" si="3"/>
        <v>32</v>
      </c>
      <c r="AG5" s="41">
        <f t="shared" si="3"/>
        <v>51</v>
      </c>
      <c r="AH5" s="73">
        <f t="shared" si="3"/>
        <v>10</v>
      </c>
      <c r="AI5" s="46">
        <f t="shared" si="3"/>
        <v>13</v>
      </c>
      <c r="AJ5" s="41">
        <f t="shared" si="3"/>
        <v>46</v>
      </c>
      <c r="AK5" s="41">
        <f t="shared" si="3"/>
        <v>59</v>
      </c>
      <c r="AL5" s="73">
        <f t="shared" si="3"/>
        <v>72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1"/>
        <v>24</v>
      </c>
      <c r="I6" s="40">
        <f t="shared" si="1"/>
        <v>44</v>
      </c>
      <c r="J6" s="66">
        <f t="shared" si="1"/>
        <v>64</v>
      </c>
      <c r="K6" s="43">
        <f t="shared" si="1"/>
        <v>4</v>
      </c>
      <c r="L6" s="40">
        <f t="shared" si="1"/>
        <v>40</v>
      </c>
      <c r="M6" s="40">
        <f t="shared" si="1"/>
        <v>56</v>
      </c>
      <c r="N6" s="66">
        <f t="shared" si="1"/>
        <v>72</v>
      </c>
      <c r="O6" s="43">
        <f t="shared" si="1"/>
        <v>4</v>
      </c>
      <c r="P6" s="40">
        <f t="shared" si="1"/>
        <v>22</v>
      </c>
      <c r="Q6" s="40">
        <f t="shared" si="1"/>
        <v>60</v>
      </c>
      <c r="R6" s="66">
        <f t="shared" si="1"/>
        <v>78</v>
      </c>
      <c r="S6" s="43">
        <f t="shared" si="1"/>
        <v>4</v>
      </c>
      <c r="T6" s="40">
        <f t="shared" si="1"/>
        <v>38</v>
      </c>
      <c r="U6" s="40">
        <f t="shared" si="1"/>
        <v>52</v>
      </c>
      <c r="V6" s="42">
        <f t="shared" si="1"/>
        <v>66</v>
      </c>
      <c r="W6" s="46">
        <f t="shared" si="3"/>
        <v>14</v>
      </c>
      <c r="X6" s="41">
        <f t="shared" si="3"/>
        <v>49</v>
      </c>
      <c r="Y6" s="41">
        <f t="shared" si="3"/>
        <v>64</v>
      </c>
      <c r="Z6" s="73">
        <f t="shared" si="3"/>
        <v>79</v>
      </c>
      <c r="AA6" s="46">
        <f t="shared" si="3"/>
        <v>14</v>
      </c>
      <c r="AB6" s="41">
        <f t="shared" si="3"/>
        <v>31</v>
      </c>
      <c r="AC6" s="41">
        <f t="shared" si="3"/>
        <v>68</v>
      </c>
      <c r="AD6" s="73">
        <f t="shared" si="3"/>
        <v>5</v>
      </c>
      <c r="AE6" s="46">
        <f t="shared" si="3"/>
        <v>14</v>
      </c>
      <c r="AF6" s="41">
        <f t="shared" si="3"/>
        <v>33</v>
      </c>
      <c r="AG6" s="41">
        <f t="shared" si="3"/>
        <v>52</v>
      </c>
      <c r="AH6" s="73">
        <f t="shared" si="3"/>
        <v>71</v>
      </c>
      <c r="AI6" s="46">
        <f t="shared" si="3"/>
        <v>14</v>
      </c>
      <c r="AJ6" s="41">
        <f t="shared" si="3"/>
        <v>47</v>
      </c>
      <c r="AK6" s="41">
        <f t="shared" si="3"/>
        <v>60</v>
      </c>
      <c r="AL6" s="73">
        <f t="shared" si="3"/>
        <v>73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1"/>
        <v>25</v>
      </c>
      <c r="I7" s="40">
        <f t="shared" si="1"/>
        <v>45</v>
      </c>
      <c r="J7" s="66">
        <f t="shared" si="1"/>
        <v>65</v>
      </c>
      <c r="K7" s="43">
        <f t="shared" si="1"/>
        <v>5</v>
      </c>
      <c r="L7" s="40">
        <f t="shared" si="1"/>
        <v>21</v>
      </c>
      <c r="M7" s="40">
        <f t="shared" si="1"/>
        <v>57</v>
      </c>
      <c r="N7" s="66">
        <f t="shared" si="1"/>
        <v>73</v>
      </c>
      <c r="O7" s="43">
        <f t="shared" si="1"/>
        <v>5</v>
      </c>
      <c r="P7" s="40">
        <f t="shared" si="1"/>
        <v>23</v>
      </c>
      <c r="Q7" s="40">
        <f t="shared" si="1"/>
        <v>41</v>
      </c>
      <c r="R7" s="66">
        <f t="shared" si="1"/>
        <v>79</v>
      </c>
      <c r="S7" s="43">
        <f t="shared" si="1"/>
        <v>5</v>
      </c>
      <c r="T7" s="40">
        <f t="shared" si="1"/>
        <v>39</v>
      </c>
      <c r="U7" s="40">
        <f t="shared" si="1"/>
        <v>53</v>
      </c>
      <c r="V7" s="42">
        <f t="shared" si="1"/>
        <v>67</v>
      </c>
      <c r="W7" s="46">
        <f t="shared" si="3"/>
        <v>15</v>
      </c>
      <c r="X7" s="41">
        <f t="shared" si="3"/>
        <v>50</v>
      </c>
      <c r="Y7" s="41">
        <f t="shared" si="3"/>
        <v>65</v>
      </c>
      <c r="Z7" s="73">
        <f t="shared" si="3"/>
        <v>80</v>
      </c>
      <c r="AA7" s="46">
        <f t="shared" si="3"/>
        <v>15</v>
      </c>
      <c r="AB7" s="41">
        <f t="shared" si="3"/>
        <v>32</v>
      </c>
      <c r="AC7" s="41">
        <f t="shared" si="3"/>
        <v>69</v>
      </c>
      <c r="AD7" s="73">
        <f t="shared" si="3"/>
        <v>6</v>
      </c>
      <c r="AE7" s="46">
        <f t="shared" si="3"/>
        <v>15</v>
      </c>
      <c r="AF7" s="41">
        <f t="shared" si="3"/>
        <v>34</v>
      </c>
      <c r="AG7" s="41">
        <f t="shared" si="3"/>
        <v>53</v>
      </c>
      <c r="AH7" s="73">
        <f t="shared" si="3"/>
        <v>72</v>
      </c>
      <c r="AI7" s="46">
        <f t="shared" si="3"/>
        <v>15</v>
      </c>
      <c r="AJ7" s="41">
        <f t="shared" si="3"/>
        <v>48</v>
      </c>
      <c r="AK7" s="41">
        <f t="shared" si="3"/>
        <v>61</v>
      </c>
      <c r="AL7" s="73">
        <f t="shared" si="3"/>
        <v>74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1"/>
        <v>26</v>
      </c>
      <c r="I8" s="40">
        <f t="shared" si="1"/>
        <v>46</v>
      </c>
      <c r="J8" s="66">
        <f t="shared" si="1"/>
        <v>66</v>
      </c>
      <c r="K8" s="43">
        <f t="shared" si="1"/>
        <v>6</v>
      </c>
      <c r="L8" s="40">
        <f t="shared" si="1"/>
        <v>22</v>
      </c>
      <c r="M8" s="40">
        <f t="shared" si="1"/>
        <v>58</v>
      </c>
      <c r="N8" s="66">
        <f t="shared" si="1"/>
        <v>74</v>
      </c>
      <c r="O8" s="43">
        <f t="shared" si="1"/>
        <v>6</v>
      </c>
      <c r="P8" s="40">
        <f t="shared" si="1"/>
        <v>24</v>
      </c>
      <c r="Q8" s="40">
        <f t="shared" si="1"/>
        <v>42</v>
      </c>
      <c r="R8" s="66">
        <f t="shared" si="1"/>
        <v>80</v>
      </c>
      <c r="S8" s="43">
        <f t="shared" si="1"/>
        <v>6</v>
      </c>
      <c r="T8" s="40">
        <f t="shared" si="1"/>
        <v>40</v>
      </c>
      <c r="U8" s="40">
        <f t="shared" si="1"/>
        <v>54</v>
      </c>
      <c r="V8" s="42">
        <f t="shared" si="1"/>
        <v>68</v>
      </c>
      <c r="W8" s="46">
        <f t="shared" si="3"/>
        <v>16</v>
      </c>
      <c r="X8" s="41">
        <f t="shared" si="3"/>
        <v>31</v>
      </c>
      <c r="Y8" s="41">
        <f t="shared" si="3"/>
        <v>66</v>
      </c>
      <c r="Z8" s="73">
        <f t="shared" si="3"/>
        <v>1</v>
      </c>
      <c r="AA8" s="46">
        <f t="shared" si="3"/>
        <v>16</v>
      </c>
      <c r="AB8" s="41">
        <f t="shared" si="3"/>
        <v>33</v>
      </c>
      <c r="AC8" s="41">
        <f t="shared" si="3"/>
        <v>70</v>
      </c>
      <c r="AD8" s="73">
        <f t="shared" si="3"/>
        <v>7</v>
      </c>
      <c r="AE8" s="46">
        <f t="shared" si="3"/>
        <v>16</v>
      </c>
      <c r="AF8" s="41">
        <f t="shared" si="3"/>
        <v>35</v>
      </c>
      <c r="AG8" s="41">
        <f t="shared" si="3"/>
        <v>54</v>
      </c>
      <c r="AH8" s="73">
        <f t="shared" si="3"/>
        <v>73</v>
      </c>
      <c r="AI8" s="46">
        <f t="shared" si="3"/>
        <v>16</v>
      </c>
      <c r="AJ8" s="41">
        <f t="shared" si="3"/>
        <v>49</v>
      </c>
      <c r="AK8" s="41">
        <f t="shared" si="3"/>
        <v>62</v>
      </c>
      <c r="AL8" s="73">
        <f t="shared" si="3"/>
        <v>75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1"/>
        <v>27</v>
      </c>
      <c r="I9" s="40">
        <f t="shared" si="1"/>
        <v>47</v>
      </c>
      <c r="J9" s="66">
        <f t="shared" si="1"/>
        <v>67</v>
      </c>
      <c r="K9" s="43">
        <f t="shared" si="1"/>
        <v>7</v>
      </c>
      <c r="L9" s="40">
        <f t="shared" si="1"/>
        <v>23</v>
      </c>
      <c r="M9" s="40">
        <f t="shared" si="1"/>
        <v>59</v>
      </c>
      <c r="N9" s="66">
        <f t="shared" si="1"/>
        <v>75</v>
      </c>
      <c r="O9" s="43">
        <f t="shared" si="1"/>
        <v>7</v>
      </c>
      <c r="P9" s="40">
        <f t="shared" si="1"/>
        <v>25</v>
      </c>
      <c r="Q9" s="40">
        <f t="shared" si="1"/>
        <v>43</v>
      </c>
      <c r="R9" s="66">
        <f t="shared" si="1"/>
        <v>61</v>
      </c>
      <c r="S9" s="43">
        <f t="shared" si="1"/>
        <v>7</v>
      </c>
      <c r="T9" s="40">
        <f t="shared" si="1"/>
        <v>21</v>
      </c>
      <c r="U9" s="40">
        <f t="shared" si="1"/>
        <v>55</v>
      </c>
      <c r="V9" s="42">
        <f t="shared" si="1"/>
        <v>69</v>
      </c>
      <c r="W9" s="46">
        <f t="shared" si="3"/>
        <v>17</v>
      </c>
      <c r="X9" s="41">
        <f t="shared" si="3"/>
        <v>32</v>
      </c>
      <c r="Y9" s="41">
        <f t="shared" si="3"/>
        <v>67</v>
      </c>
      <c r="Z9" s="73">
        <f t="shared" si="3"/>
        <v>2</v>
      </c>
      <c r="AA9" s="46">
        <f t="shared" si="3"/>
        <v>17</v>
      </c>
      <c r="AB9" s="41">
        <f t="shared" si="3"/>
        <v>34</v>
      </c>
      <c r="AC9" s="41">
        <f t="shared" si="3"/>
        <v>51</v>
      </c>
      <c r="AD9" s="73">
        <f t="shared" si="3"/>
        <v>8</v>
      </c>
      <c r="AE9" s="46">
        <f t="shared" si="3"/>
        <v>17</v>
      </c>
      <c r="AF9" s="41">
        <f t="shared" si="3"/>
        <v>36</v>
      </c>
      <c r="AG9" s="41">
        <f t="shared" si="3"/>
        <v>55</v>
      </c>
      <c r="AH9" s="73">
        <f t="shared" si="3"/>
        <v>74</v>
      </c>
      <c r="AI9" s="46">
        <f t="shared" si="3"/>
        <v>17</v>
      </c>
      <c r="AJ9" s="41">
        <f t="shared" si="3"/>
        <v>50</v>
      </c>
      <c r="AK9" s="41">
        <f t="shared" si="3"/>
        <v>63</v>
      </c>
      <c r="AL9" s="73">
        <f t="shared" si="3"/>
        <v>76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1"/>
        <v>28</v>
      </c>
      <c r="I10" s="40">
        <f t="shared" si="1"/>
        <v>48</v>
      </c>
      <c r="J10" s="66">
        <f t="shared" si="1"/>
        <v>68</v>
      </c>
      <c r="K10" s="43">
        <f t="shared" si="1"/>
        <v>8</v>
      </c>
      <c r="L10" s="40">
        <f t="shared" si="1"/>
        <v>24</v>
      </c>
      <c r="M10" s="40">
        <f t="shared" si="1"/>
        <v>60</v>
      </c>
      <c r="N10" s="66">
        <f t="shared" si="1"/>
        <v>76</v>
      </c>
      <c r="O10" s="43">
        <f t="shared" si="1"/>
        <v>8</v>
      </c>
      <c r="P10" s="40">
        <f t="shared" si="1"/>
        <v>26</v>
      </c>
      <c r="Q10" s="40">
        <f t="shared" si="1"/>
        <v>44</v>
      </c>
      <c r="R10" s="66">
        <f t="shared" si="1"/>
        <v>62</v>
      </c>
      <c r="S10" s="43">
        <f t="shared" si="1"/>
        <v>8</v>
      </c>
      <c r="T10" s="40">
        <f t="shared" si="1"/>
        <v>22</v>
      </c>
      <c r="U10" s="40">
        <f t="shared" si="1"/>
        <v>56</v>
      </c>
      <c r="V10" s="42">
        <f t="shared" si="1"/>
        <v>70</v>
      </c>
      <c r="W10" s="46">
        <f t="shared" si="3"/>
        <v>18</v>
      </c>
      <c r="X10" s="41">
        <f t="shared" si="3"/>
        <v>33</v>
      </c>
      <c r="Y10" s="41">
        <f t="shared" si="3"/>
        <v>68</v>
      </c>
      <c r="Z10" s="73">
        <f t="shared" si="3"/>
        <v>3</v>
      </c>
      <c r="AA10" s="46">
        <f t="shared" si="3"/>
        <v>18</v>
      </c>
      <c r="AB10" s="41">
        <f t="shared" si="3"/>
        <v>35</v>
      </c>
      <c r="AC10" s="41">
        <f t="shared" si="3"/>
        <v>52</v>
      </c>
      <c r="AD10" s="73">
        <f t="shared" si="3"/>
        <v>9</v>
      </c>
      <c r="AE10" s="46">
        <f t="shared" si="3"/>
        <v>18</v>
      </c>
      <c r="AF10" s="41">
        <f t="shared" si="3"/>
        <v>37</v>
      </c>
      <c r="AG10" s="41">
        <f t="shared" si="3"/>
        <v>56</v>
      </c>
      <c r="AH10" s="73">
        <f t="shared" si="3"/>
        <v>75</v>
      </c>
      <c r="AI10" s="46">
        <f t="shared" si="3"/>
        <v>18</v>
      </c>
      <c r="AJ10" s="41">
        <f t="shared" si="3"/>
        <v>31</v>
      </c>
      <c r="AK10" s="41">
        <f t="shared" si="3"/>
        <v>64</v>
      </c>
      <c r="AL10" s="73">
        <f t="shared" si="3"/>
        <v>77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1"/>
        <v>29</v>
      </c>
      <c r="I11" s="40">
        <f t="shared" si="1"/>
        <v>49</v>
      </c>
      <c r="J11" s="66">
        <f t="shared" si="1"/>
        <v>69</v>
      </c>
      <c r="K11" s="43">
        <f t="shared" si="1"/>
        <v>9</v>
      </c>
      <c r="L11" s="40">
        <f t="shared" si="1"/>
        <v>25</v>
      </c>
      <c r="M11" s="40">
        <f t="shared" si="1"/>
        <v>41</v>
      </c>
      <c r="N11" s="66">
        <f t="shared" si="1"/>
        <v>77</v>
      </c>
      <c r="O11" s="43">
        <f t="shared" si="1"/>
        <v>9</v>
      </c>
      <c r="P11" s="40">
        <f t="shared" si="1"/>
        <v>27</v>
      </c>
      <c r="Q11" s="40">
        <f t="shared" si="1"/>
        <v>45</v>
      </c>
      <c r="R11" s="66">
        <f t="shared" si="1"/>
        <v>63</v>
      </c>
      <c r="S11" s="43">
        <f t="shared" si="1"/>
        <v>9</v>
      </c>
      <c r="T11" s="40">
        <f t="shared" si="1"/>
        <v>23</v>
      </c>
      <c r="U11" s="40">
        <f t="shared" si="1"/>
        <v>57</v>
      </c>
      <c r="V11" s="42">
        <f t="shared" si="1"/>
        <v>71</v>
      </c>
      <c r="W11" s="46">
        <f t="shared" si="3"/>
        <v>19</v>
      </c>
      <c r="X11" s="41">
        <f t="shared" si="3"/>
        <v>34</v>
      </c>
      <c r="Y11" s="41">
        <f t="shared" si="3"/>
        <v>69</v>
      </c>
      <c r="Z11" s="73">
        <f t="shared" si="3"/>
        <v>4</v>
      </c>
      <c r="AA11" s="46">
        <f t="shared" si="3"/>
        <v>19</v>
      </c>
      <c r="AB11" s="41">
        <f t="shared" si="3"/>
        <v>36</v>
      </c>
      <c r="AC11" s="41">
        <f t="shared" si="3"/>
        <v>53</v>
      </c>
      <c r="AD11" s="73">
        <f t="shared" si="3"/>
        <v>10</v>
      </c>
      <c r="AE11" s="46">
        <f t="shared" si="3"/>
        <v>19</v>
      </c>
      <c r="AF11" s="41">
        <f t="shared" si="3"/>
        <v>38</v>
      </c>
      <c r="AG11" s="41">
        <f t="shared" si="3"/>
        <v>57</v>
      </c>
      <c r="AH11" s="73">
        <f t="shared" si="3"/>
        <v>76</v>
      </c>
      <c r="AI11" s="46">
        <f t="shared" si="3"/>
        <v>19</v>
      </c>
      <c r="AJ11" s="41">
        <f t="shared" si="3"/>
        <v>32</v>
      </c>
      <c r="AK11" s="41">
        <f t="shared" si="3"/>
        <v>65</v>
      </c>
      <c r="AL11" s="73">
        <f t="shared" si="3"/>
        <v>78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1"/>
        <v>30</v>
      </c>
      <c r="I12" s="40">
        <f t="shared" si="1"/>
        <v>50</v>
      </c>
      <c r="J12" s="66">
        <f t="shared" si="1"/>
        <v>70</v>
      </c>
      <c r="K12" s="43">
        <f t="shared" si="1"/>
        <v>10</v>
      </c>
      <c r="L12" s="40">
        <f t="shared" si="1"/>
        <v>26</v>
      </c>
      <c r="M12" s="40">
        <f t="shared" si="1"/>
        <v>42</v>
      </c>
      <c r="N12" s="66">
        <f t="shared" si="1"/>
        <v>78</v>
      </c>
      <c r="O12" s="43">
        <f t="shared" si="1"/>
        <v>10</v>
      </c>
      <c r="P12" s="40">
        <f t="shared" si="1"/>
        <v>28</v>
      </c>
      <c r="Q12" s="40">
        <f t="shared" si="1"/>
        <v>46</v>
      </c>
      <c r="R12" s="66">
        <f t="shared" si="1"/>
        <v>64</v>
      </c>
      <c r="S12" s="43">
        <f t="shared" si="1"/>
        <v>10</v>
      </c>
      <c r="T12" s="40">
        <f t="shared" si="1"/>
        <v>24</v>
      </c>
      <c r="U12" s="40">
        <f t="shared" si="1"/>
        <v>58</v>
      </c>
      <c r="V12" s="42">
        <f t="shared" si="1"/>
        <v>72</v>
      </c>
      <c r="W12" s="46">
        <f t="shared" si="3"/>
        <v>20</v>
      </c>
      <c r="X12" s="41">
        <f t="shared" si="3"/>
        <v>35</v>
      </c>
      <c r="Y12" s="41">
        <f t="shared" si="3"/>
        <v>70</v>
      </c>
      <c r="Z12" s="73">
        <f t="shared" si="3"/>
        <v>5</v>
      </c>
      <c r="AA12" s="46">
        <f t="shared" si="3"/>
        <v>20</v>
      </c>
      <c r="AB12" s="41">
        <f t="shared" si="3"/>
        <v>37</v>
      </c>
      <c r="AC12" s="41">
        <f t="shared" si="3"/>
        <v>54</v>
      </c>
      <c r="AD12" s="73">
        <f t="shared" si="3"/>
        <v>71</v>
      </c>
      <c r="AE12" s="46">
        <f t="shared" si="3"/>
        <v>20</v>
      </c>
      <c r="AF12" s="41">
        <f t="shared" si="3"/>
        <v>39</v>
      </c>
      <c r="AG12" s="41">
        <f t="shared" si="3"/>
        <v>58</v>
      </c>
      <c r="AH12" s="73">
        <f t="shared" si="3"/>
        <v>77</v>
      </c>
      <c r="AI12" s="46">
        <f t="shared" si="3"/>
        <v>20</v>
      </c>
      <c r="AJ12" s="41">
        <f t="shared" si="3"/>
        <v>33</v>
      </c>
      <c r="AK12" s="41">
        <f t="shared" si="3"/>
        <v>66</v>
      </c>
      <c r="AL12" s="73">
        <f t="shared" si="3"/>
        <v>79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1"/>
        <v>31</v>
      </c>
      <c r="I13" s="40">
        <f t="shared" si="1"/>
        <v>51</v>
      </c>
      <c r="J13" s="66">
        <f t="shared" si="1"/>
        <v>71</v>
      </c>
      <c r="K13" s="43">
        <f t="shared" si="1"/>
        <v>11</v>
      </c>
      <c r="L13" s="40">
        <f t="shared" si="1"/>
        <v>27</v>
      </c>
      <c r="M13" s="40">
        <f t="shared" si="1"/>
        <v>43</v>
      </c>
      <c r="N13" s="66">
        <f t="shared" si="1"/>
        <v>79</v>
      </c>
      <c r="O13" s="43">
        <f t="shared" si="1"/>
        <v>11</v>
      </c>
      <c r="P13" s="40">
        <f t="shared" si="1"/>
        <v>29</v>
      </c>
      <c r="Q13" s="40">
        <f t="shared" si="1"/>
        <v>47</v>
      </c>
      <c r="R13" s="66">
        <f t="shared" si="1"/>
        <v>65</v>
      </c>
      <c r="S13" s="43">
        <f t="shared" si="1"/>
        <v>11</v>
      </c>
      <c r="T13" s="40">
        <f t="shared" si="1"/>
        <v>25</v>
      </c>
      <c r="U13" s="40">
        <f t="shared" si="1"/>
        <v>59</v>
      </c>
      <c r="V13" s="42">
        <f t="shared" si="1"/>
        <v>73</v>
      </c>
      <c r="W13" s="46">
        <f t="shared" si="3"/>
        <v>21</v>
      </c>
      <c r="X13" s="41">
        <f t="shared" si="3"/>
        <v>36</v>
      </c>
      <c r="Y13" s="41">
        <f t="shared" si="3"/>
        <v>51</v>
      </c>
      <c r="Z13" s="73">
        <f t="shared" si="3"/>
        <v>6</v>
      </c>
      <c r="AA13" s="46">
        <f t="shared" si="3"/>
        <v>21</v>
      </c>
      <c r="AB13" s="41">
        <f t="shared" si="3"/>
        <v>38</v>
      </c>
      <c r="AC13" s="41">
        <f t="shared" si="3"/>
        <v>55</v>
      </c>
      <c r="AD13" s="73">
        <f t="shared" si="3"/>
        <v>72</v>
      </c>
      <c r="AE13" s="46">
        <f t="shared" si="3"/>
        <v>21</v>
      </c>
      <c r="AF13" s="41">
        <f t="shared" si="3"/>
        <v>40</v>
      </c>
      <c r="AG13" s="41">
        <f t="shared" si="3"/>
        <v>59</v>
      </c>
      <c r="AH13" s="73">
        <f t="shared" si="3"/>
        <v>78</v>
      </c>
      <c r="AI13" s="46">
        <f t="shared" si="3"/>
        <v>21</v>
      </c>
      <c r="AJ13" s="41">
        <f t="shared" si="3"/>
        <v>34</v>
      </c>
      <c r="AK13" s="41">
        <f t="shared" si="3"/>
        <v>67</v>
      </c>
      <c r="AL13" s="73">
        <f t="shared" si="3"/>
        <v>80</v>
      </c>
    </row>
    <row r="14" spans="1:38" x14ac:dyDescent="0.35">
      <c r="A14" s="18">
        <v>11</v>
      </c>
      <c r="B14" s="19" t="s">
        <v>18</v>
      </c>
      <c r="D14">
        <f>$B$2/$C$2-$E$2/2+1</f>
        <v>16</v>
      </c>
      <c r="E14">
        <f>$B$2/$C$2+$E$2/2</f>
        <v>25</v>
      </c>
      <c r="G14" s="43">
        <f t="shared" si="0"/>
        <v>12</v>
      </c>
      <c r="H14" s="40">
        <f t="shared" si="1"/>
        <v>32</v>
      </c>
      <c r="I14" s="40">
        <f t="shared" si="1"/>
        <v>52</v>
      </c>
      <c r="J14" s="66">
        <f t="shared" si="1"/>
        <v>72</v>
      </c>
      <c r="K14" s="43">
        <f t="shared" si="1"/>
        <v>12</v>
      </c>
      <c r="L14" s="40">
        <f t="shared" si="1"/>
        <v>28</v>
      </c>
      <c r="M14" s="40">
        <f t="shared" si="1"/>
        <v>44</v>
      </c>
      <c r="N14" s="66">
        <f t="shared" si="1"/>
        <v>80</v>
      </c>
      <c r="O14" s="43">
        <f t="shared" si="1"/>
        <v>12</v>
      </c>
      <c r="P14" s="40">
        <f t="shared" si="1"/>
        <v>30</v>
      </c>
      <c r="Q14" s="40">
        <f t="shared" si="1"/>
        <v>48</v>
      </c>
      <c r="R14" s="66">
        <f t="shared" si="1"/>
        <v>66</v>
      </c>
      <c r="S14" s="43">
        <f t="shared" si="1"/>
        <v>12</v>
      </c>
      <c r="T14" s="40">
        <f t="shared" si="1"/>
        <v>26</v>
      </c>
      <c r="U14" s="40">
        <f t="shared" si="1"/>
        <v>60</v>
      </c>
      <c r="V14" s="42">
        <f t="shared" si="1"/>
        <v>74</v>
      </c>
      <c r="W14" s="46">
        <f t="shared" si="3"/>
        <v>22</v>
      </c>
      <c r="X14" s="41">
        <f t="shared" si="3"/>
        <v>37</v>
      </c>
      <c r="Y14" s="41">
        <f t="shared" si="3"/>
        <v>52</v>
      </c>
      <c r="Z14" s="73">
        <f t="shared" si="3"/>
        <v>7</v>
      </c>
      <c r="AA14" s="46">
        <f t="shared" si="3"/>
        <v>22</v>
      </c>
      <c r="AB14" s="41">
        <f t="shared" si="3"/>
        <v>39</v>
      </c>
      <c r="AC14" s="41">
        <f t="shared" si="3"/>
        <v>56</v>
      </c>
      <c r="AD14" s="73">
        <f t="shared" si="3"/>
        <v>73</v>
      </c>
      <c r="AE14" s="46">
        <f t="shared" si="3"/>
        <v>22</v>
      </c>
      <c r="AF14" s="41">
        <f t="shared" si="3"/>
        <v>41</v>
      </c>
      <c r="AG14" s="41">
        <f t="shared" si="3"/>
        <v>60</v>
      </c>
      <c r="AH14" s="73">
        <f t="shared" si="3"/>
        <v>79</v>
      </c>
      <c r="AI14" s="46">
        <f t="shared" si="3"/>
        <v>22</v>
      </c>
      <c r="AJ14" s="41">
        <f t="shared" si="3"/>
        <v>35</v>
      </c>
      <c r="AK14" s="41">
        <f t="shared" si="3"/>
        <v>68</v>
      </c>
      <c r="AL14" s="73">
        <f t="shared" si="3"/>
        <v>1</v>
      </c>
    </row>
    <row r="15" spans="1:38" x14ac:dyDescent="0.35">
      <c r="A15" s="18">
        <v>12</v>
      </c>
      <c r="B15" s="19" t="s">
        <v>18</v>
      </c>
      <c r="D15">
        <f>2*$B$2/$C$2-$E$2/2+1</f>
        <v>36</v>
      </c>
      <c r="E15">
        <f>2*$B$2/$C$2+$E$2/2</f>
        <v>45</v>
      </c>
      <c r="G15" s="43">
        <f t="shared" si="0"/>
        <v>13</v>
      </c>
      <c r="H15" s="40">
        <f t="shared" si="1"/>
        <v>33</v>
      </c>
      <c r="I15" s="40">
        <f t="shared" si="1"/>
        <v>53</v>
      </c>
      <c r="J15" s="66">
        <f t="shared" si="1"/>
        <v>73</v>
      </c>
      <c r="K15" s="43">
        <f t="shared" si="1"/>
        <v>13</v>
      </c>
      <c r="L15" s="40">
        <f t="shared" si="1"/>
        <v>29</v>
      </c>
      <c r="M15" s="40">
        <f t="shared" si="1"/>
        <v>45</v>
      </c>
      <c r="N15" s="66">
        <f t="shared" si="1"/>
        <v>61</v>
      </c>
      <c r="O15" s="43">
        <f t="shared" si="1"/>
        <v>13</v>
      </c>
      <c r="P15" s="40">
        <f t="shared" si="1"/>
        <v>31</v>
      </c>
      <c r="Q15" s="40">
        <f t="shared" si="1"/>
        <v>49</v>
      </c>
      <c r="R15" s="66">
        <f t="shared" si="1"/>
        <v>67</v>
      </c>
      <c r="S15" s="43">
        <f t="shared" si="1"/>
        <v>13</v>
      </c>
      <c r="T15" s="40">
        <f t="shared" si="1"/>
        <v>27</v>
      </c>
      <c r="U15" s="40">
        <f t="shared" si="1"/>
        <v>41</v>
      </c>
      <c r="V15" s="42">
        <f t="shared" si="1"/>
        <v>75</v>
      </c>
      <c r="W15" s="46">
        <f t="shared" si="3"/>
        <v>23</v>
      </c>
      <c r="X15" s="41">
        <f t="shared" si="3"/>
        <v>38</v>
      </c>
      <c r="Y15" s="41">
        <f t="shared" si="3"/>
        <v>53</v>
      </c>
      <c r="Z15" s="73">
        <f t="shared" si="3"/>
        <v>8</v>
      </c>
      <c r="AA15" s="46">
        <f t="shared" si="3"/>
        <v>23</v>
      </c>
      <c r="AB15" s="41">
        <f t="shared" si="3"/>
        <v>40</v>
      </c>
      <c r="AC15" s="41">
        <f t="shared" si="3"/>
        <v>57</v>
      </c>
      <c r="AD15" s="73">
        <f t="shared" si="3"/>
        <v>74</v>
      </c>
      <c r="AE15" s="46">
        <f t="shared" si="3"/>
        <v>23</v>
      </c>
      <c r="AF15" s="41">
        <f t="shared" si="3"/>
        <v>42</v>
      </c>
      <c r="AG15" s="41">
        <f t="shared" si="3"/>
        <v>61</v>
      </c>
      <c r="AH15" s="73">
        <f t="shared" si="3"/>
        <v>80</v>
      </c>
      <c r="AI15" s="46">
        <f t="shared" si="3"/>
        <v>23</v>
      </c>
      <c r="AJ15" s="41">
        <f t="shared" si="3"/>
        <v>36</v>
      </c>
      <c r="AK15" s="41">
        <f t="shared" si="3"/>
        <v>69</v>
      </c>
      <c r="AL15" s="73">
        <f t="shared" si="3"/>
        <v>2</v>
      </c>
    </row>
    <row r="16" spans="1:38" x14ac:dyDescent="0.35">
      <c r="A16" s="18">
        <v>13</v>
      </c>
      <c r="B16" s="19" t="s">
        <v>18</v>
      </c>
      <c r="D16">
        <f>3*$B$2/$C$2-$E$2/2+1</f>
        <v>56</v>
      </c>
      <c r="E16">
        <f>3*$B$2/$C$2+$E$2/2</f>
        <v>65</v>
      </c>
      <c r="G16" s="43">
        <f t="shared" si="0"/>
        <v>14</v>
      </c>
      <c r="H16" s="40">
        <f t="shared" si="1"/>
        <v>34</v>
      </c>
      <c r="I16" s="40">
        <f t="shared" si="1"/>
        <v>54</v>
      </c>
      <c r="J16" s="66">
        <f t="shared" si="1"/>
        <v>74</v>
      </c>
      <c r="K16" s="43">
        <f t="shared" si="1"/>
        <v>14</v>
      </c>
      <c r="L16" s="40">
        <f t="shared" si="1"/>
        <v>30</v>
      </c>
      <c r="M16" s="40">
        <f t="shared" si="1"/>
        <v>46</v>
      </c>
      <c r="N16" s="66">
        <f t="shared" si="1"/>
        <v>62</v>
      </c>
      <c r="O16" s="43">
        <f t="shared" si="1"/>
        <v>14</v>
      </c>
      <c r="P16" s="40">
        <f t="shared" si="1"/>
        <v>32</v>
      </c>
      <c r="Q16" s="40">
        <f t="shared" si="1"/>
        <v>50</v>
      </c>
      <c r="R16" s="66">
        <f t="shared" si="1"/>
        <v>68</v>
      </c>
      <c r="S16" s="43">
        <f t="shared" si="1"/>
        <v>14</v>
      </c>
      <c r="T16" s="40">
        <f t="shared" si="1"/>
        <v>28</v>
      </c>
      <c r="U16" s="40">
        <f t="shared" si="1"/>
        <v>42</v>
      </c>
      <c r="V16" s="42">
        <f t="shared" si="1"/>
        <v>76</v>
      </c>
      <c r="W16" s="46">
        <f t="shared" si="3"/>
        <v>24</v>
      </c>
      <c r="X16" s="41">
        <f t="shared" si="3"/>
        <v>39</v>
      </c>
      <c r="Y16" s="41">
        <f t="shared" si="3"/>
        <v>54</v>
      </c>
      <c r="Z16" s="73">
        <f t="shared" si="3"/>
        <v>9</v>
      </c>
      <c r="AA16" s="46">
        <f t="shared" si="3"/>
        <v>24</v>
      </c>
      <c r="AB16" s="41">
        <f t="shared" si="3"/>
        <v>41</v>
      </c>
      <c r="AC16" s="41">
        <f t="shared" si="3"/>
        <v>58</v>
      </c>
      <c r="AD16" s="73">
        <f t="shared" si="3"/>
        <v>75</v>
      </c>
      <c r="AE16" s="46">
        <f t="shared" si="3"/>
        <v>24</v>
      </c>
      <c r="AF16" s="41">
        <f t="shared" si="3"/>
        <v>43</v>
      </c>
      <c r="AG16" s="41">
        <f t="shared" si="3"/>
        <v>62</v>
      </c>
      <c r="AH16" s="73">
        <f t="shared" si="3"/>
        <v>1</v>
      </c>
      <c r="AI16" s="46">
        <f t="shared" si="3"/>
        <v>24</v>
      </c>
      <c r="AJ16" s="41">
        <f t="shared" si="3"/>
        <v>37</v>
      </c>
      <c r="AK16" s="41">
        <f t="shared" si="3"/>
        <v>70</v>
      </c>
      <c r="AL16" s="73">
        <f t="shared" si="3"/>
        <v>3</v>
      </c>
    </row>
    <row r="17" spans="1:38" x14ac:dyDescent="0.35">
      <c r="A17" s="3">
        <v>14</v>
      </c>
      <c r="B17" s="22" t="s">
        <v>19</v>
      </c>
      <c r="D17">
        <f>$B$2-2</f>
        <v>78</v>
      </c>
      <c r="E17">
        <f>$B$2</f>
        <v>80</v>
      </c>
      <c r="G17" s="43">
        <f t="shared" si="0"/>
        <v>15</v>
      </c>
      <c r="H17" s="40">
        <f t="shared" si="1"/>
        <v>35</v>
      </c>
      <c r="I17" s="40">
        <f t="shared" si="1"/>
        <v>55</v>
      </c>
      <c r="J17" s="66">
        <f t="shared" si="1"/>
        <v>75</v>
      </c>
      <c r="K17" s="43">
        <f t="shared" si="1"/>
        <v>15</v>
      </c>
      <c r="L17" s="40">
        <f t="shared" si="1"/>
        <v>31</v>
      </c>
      <c r="M17" s="40">
        <f t="shared" si="1"/>
        <v>47</v>
      </c>
      <c r="N17" s="66">
        <f t="shared" si="1"/>
        <v>63</v>
      </c>
      <c r="O17" s="43">
        <f t="shared" si="1"/>
        <v>15</v>
      </c>
      <c r="P17" s="40">
        <f t="shared" si="1"/>
        <v>33</v>
      </c>
      <c r="Q17" s="40">
        <f t="shared" si="1"/>
        <v>51</v>
      </c>
      <c r="R17" s="66">
        <f t="shared" si="1"/>
        <v>69</v>
      </c>
      <c r="S17" s="43">
        <f t="shared" si="1"/>
        <v>15</v>
      </c>
      <c r="T17" s="40">
        <f t="shared" si="1"/>
        <v>29</v>
      </c>
      <c r="U17" s="40">
        <f t="shared" si="1"/>
        <v>43</v>
      </c>
      <c r="V17" s="42">
        <f t="shared" si="1"/>
        <v>77</v>
      </c>
      <c r="W17" s="46">
        <f t="shared" si="3"/>
        <v>25</v>
      </c>
      <c r="X17" s="41">
        <f t="shared" si="3"/>
        <v>40</v>
      </c>
      <c r="Y17" s="41">
        <f t="shared" si="3"/>
        <v>55</v>
      </c>
      <c r="Z17" s="73">
        <f t="shared" si="3"/>
        <v>10</v>
      </c>
      <c r="AA17" s="46">
        <f t="shared" si="3"/>
        <v>25</v>
      </c>
      <c r="AB17" s="41">
        <f t="shared" si="3"/>
        <v>42</v>
      </c>
      <c r="AC17" s="41">
        <f t="shared" si="3"/>
        <v>59</v>
      </c>
      <c r="AD17" s="73">
        <f t="shared" si="3"/>
        <v>76</v>
      </c>
      <c r="AE17" s="46">
        <f t="shared" si="3"/>
        <v>25</v>
      </c>
      <c r="AF17" s="41">
        <f t="shared" si="3"/>
        <v>44</v>
      </c>
      <c r="AG17" s="41">
        <f t="shared" si="3"/>
        <v>63</v>
      </c>
      <c r="AH17" s="73">
        <f t="shared" si="3"/>
        <v>2</v>
      </c>
      <c r="AI17" s="46">
        <f t="shared" si="3"/>
        <v>25</v>
      </c>
      <c r="AJ17" s="41">
        <f t="shared" si="3"/>
        <v>38</v>
      </c>
      <c r="AK17" s="41">
        <f t="shared" si="3"/>
        <v>51</v>
      </c>
      <c r="AL17" s="73">
        <f t="shared" si="3"/>
        <v>4</v>
      </c>
    </row>
    <row r="18" spans="1:38" x14ac:dyDescent="0.35">
      <c r="A18" s="3">
        <v>15</v>
      </c>
      <c r="B18" s="22" t="s">
        <v>19</v>
      </c>
      <c r="G18" s="43">
        <f t="shared" si="0"/>
        <v>16</v>
      </c>
      <c r="H18" s="40">
        <f t="shared" si="1"/>
        <v>36</v>
      </c>
      <c r="I18" s="40">
        <f t="shared" si="1"/>
        <v>56</v>
      </c>
      <c r="J18" s="66">
        <f t="shared" si="1"/>
        <v>76</v>
      </c>
      <c r="K18" s="43">
        <f t="shared" si="1"/>
        <v>16</v>
      </c>
      <c r="L18" s="40">
        <f t="shared" si="1"/>
        <v>32</v>
      </c>
      <c r="M18" s="40">
        <f t="shared" si="1"/>
        <v>48</v>
      </c>
      <c r="N18" s="66">
        <f t="shared" si="1"/>
        <v>64</v>
      </c>
      <c r="O18" s="43">
        <f t="shared" si="1"/>
        <v>16</v>
      </c>
      <c r="P18" s="40">
        <f t="shared" si="1"/>
        <v>34</v>
      </c>
      <c r="Q18" s="40">
        <f t="shared" si="1"/>
        <v>52</v>
      </c>
      <c r="R18" s="66">
        <f t="shared" si="1"/>
        <v>70</v>
      </c>
      <c r="S18" s="43">
        <f t="shared" si="1"/>
        <v>16</v>
      </c>
      <c r="T18" s="40">
        <f t="shared" si="1"/>
        <v>30</v>
      </c>
      <c r="U18" s="40">
        <f t="shared" si="1"/>
        <v>44</v>
      </c>
      <c r="V18" s="42">
        <f t="shared" si="1"/>
        <v>78</v>
      </c>
      <c r="W18" s="46">
        <f t="shared" si="3"/>
        <v>26</v>
      </c>
      <c r="X18" s="41">
        <f t="shared" si="3"/>
        <v>41</v>
      </c>
      <c r="Y18" s="41">
        <f t="shared" si="3"/>
        <v>56</v>
      </c>
      <c r="Z18" s="73">
        <f t="shared" si="3"/>
        <v>71</v>
      </c>
      <c r="AA18" s="46">
        <f t="shared" si="3"/>
        <v>26</v>
      </c>
      <c r="AB18" s="41">
        <f t="shared" si="3"/>
        <v>43</v>
      </c>
      <c r="AC18" s="41">
        <f t="shared" si="3"/>
        <v>60</v>
      </c>
      <c r="AD18" s="73">
        <f t="shared" si="3"/>
        <v>77</v>
      </c>
      <c r="AE18" s="46">
        <f t="shared" si="3"/>
        <v>26</v>
      </c>
      <c r="AF18" s="41">
        <f t="shared" si="3"/>
        <v>45</v>
      </c>
      <c r="AG18" s="41">
        <f t="shared" si="3"/>
        <v>64</v>
      </c>
      <c r="AH18" s="73">
        <f t="shared" si="3"/>
        <v>3</v>
      </c>
      <c r="AI18" s="46">
        <f t="shared" si="3"/>
        <v>26</v>
      </c>
      <c r="AJ18" s="41">
        <f t="shared" si="3"/>
        <v>39</v>
      </c>
      <c r="AK18" s="41">
        <f t="shared" si="3"/>
        <v>52</v>
      </c>
      <c r="AL18" s="73">
        <f t="shared" si="3"/>
        <v>5</v>
      </c>
    </row>
    <row r="19" spans="1:38" x14ac:dyDescent="0.35">
      <c r="A19" s="3">
        <v>16</v>
      </c>
      <c r="B19" s="22" t="s">
        <v>19</v>
      </c>
      <c r="D19">
        <f>$B$2/$C$2-$E$2/2+$B$2/8+1</f>
        <v>26</v>
      </c>
      <c r="E19">
        <f>$B$2/$C$2+$E$2/2+$B$2/8</f>
        <v>35</v>
      </c>
      <c r="G19" s="43">
        <f t="shared" si="0"/>
        <v>17</v>
      </c>
      <c r="H19" s="40">
        <f t="shared" ref="H19:V22" si="4">MOD($A19-H$1*H$2,$B$2/4)+H$2*$B$2/4+1</f>
        <v>37</v>
      </c>
      <c r="I19" s="40">
        <f t="shared" si="4"/>
        <v>57</v>
      </c>
      <c r="J19" s="66">
        <f t="shared" si="4"/>
        <v>77</v>
      </c>
      <c r="K19" s="43">
        <f t="shared" si="4"/>
        <v>17</v>
      </c>
      <c r="L19" s="40">
        <f t="shared" si="4"/>
        <v>33</v>
      </c>
      <c r="M19" s="40">
        <f t="shared" si="4"/>
        <v>49</v>
      </c>
      <c r="N19" s="66">
        <f t="shared" si="4"/>
        <v>65</v>
      </c>
      <c r="O19" s="43">
        <f t="shared" si="4"/>
        <v>17</v>
      </c>
      <c r="P19" s="40">
        <f t="shared" si="4"/>
        <v>35</v>
      </c>
      <c r="Q19" s="40">
        <f t="shared" si="4"/>
        <v>53</v>
      </c>
      <c r="R19" s="66">
        <f t="shared" si="4"/>
        <v>71</v>
      </c>
      <c r="S19" s="43">
        <f t="shared" si="4"/>
        <v>17</v>
      </c>
      <c r="T19" s="40">
        <f t="shared" si="4"/>
        <v>31</v>
      </c>
      <c r="U19" s="40">
        <f t="shared" si="4"/>
        <v>45</v>
      </c>
      <c r="V19" s="42">
        <f t="shared" si="4"/>
        <v>79</v>
      </c>
      <c r="W19" s="46">
        <f t="shared" si="3"/>
        <v>27</v>
      </c>
      <c r="X19" s="41">
        <f t="shared" si="3"/>
        <v>42</v>
      </c>
      <c r="Y19" s="41">
        <f t="shared" si="3"/>
        <v>57</v>
      </c>
      <c r="Z19" s="73">
        <f t="shared" si="3"/>
        <v>72</v>
      </c>
      <c r="AA19" s="46">
        <f t="shared" si="3"/>
        <v>27</v>
      </c>
      <c r="AB19" s="41">
        <f t="shared" si="3"/>
        <v>44</v>
      </c>
      <c r="AC19" s="41">
        <f t="shared" si="3"/>
        <v>61</v>
      </c>
      <c r="AD19" s="73">
        <f t="shared" si="3"/>
        <v>78</v>
      </c>
      <c r="AE19" s="46">
        <f t="shared" si="3"/>
        <v>27</v>
      </c>
      <c r="AF19" s="41">
        <f t="shared" si="3"/>
        <v>46</v>
      </c>
      <c r="AG19" s="41">
        <f t="shared" si="3"/>
        <v>65</v>
      </c>
      <c r="AH19" s="73">
        <f t="shared" si="3"/>
        <v>4</v>
      </c>
      <c r="AI19" s="46">
        <f t="shared" si="3"/>
        <v>27</v>
      </c>
      <c r="AJ19" s="41">
        <f t="shared" si="3"/>
        <v>40</v>
      </c>
      <c r="AK19" s="41">
        <f t="shared" si="3"/>
        <v>53</v>
      </c>
      <c r="AL19" s="73">
        <f>MOD(MOD($A19-AL$1*AL$2,$B$2/4)+AL$2*$B$2/4+$B$2/8,$B$2)+1</f>
        <v>6</v>
      </c>
    </row>
    <row r="20" spans="1:38" x14ac:dyDescent="0.35">
      <c r="A20" s="3">
        <v>17</v>
      </c>
      <c r="B20" s="22" t="s">
        <v>19</v>
      </c>
      <c r="D20">
        <f>2*$B$2/$C$2-$E$2/2+$B$2/8+1</f>
        <v>46</v>
      </c>
      <c r="E20">
        <f>2*$B$2/$C$2+$E$2/2+$B$2/8</f>
        <v>55</v>
      </c>
      <c r="G20" s="43">
        <f t="shared" si="0"/>
        <v>18</v>
      </c>
      <c r="H20" s="40">
        <f t="shared" si="4"/>
        <v>38</v>
      </c>
      <c r="I20" s="40">
        <f t="shared" si="4"/>
        <v>58</v>
      </c>
      <c r="J20" s="66">
        <f t="shared" si="4"/>
        <v>78</v>
      </c>
      <c r="K20" s="43">
        <f t="shared" si="4"/>
        <v>18</v>
      </c>
      <c r="L20" s="40">
        <f t="shared" si="4"/>
        <v>34</v>
      </c>
      <c r="M20" s="40">
        <f t="shared" si="4"/>
        <v>50</v>
      </c>
      <c r="N20" s="66">
        <f t="shared" si="4"/>
        <v>66</v>
      </c>
      <c r="O20" s="43">
        <f t="shared" si="4"/>
        <v>18</v>
      </c>
      <c r="P20" s="40">
        <f t="shared" si="4"/>
        <v>36</v>
      </c>
      <c r="Q20" s="40">
        <f t="shared" si="4"/>
        <v>54</v>
      </c>
      <c r="R20" s="66">
        <f t="shared" si="4"/>
        <v>72</v>
      </c>
      <c r="S20" s="43">
        <f t="shared" si="4"/>
        <v>18</v>
      </c>
      <c r="T20" s="40">
        <f t="shared" si="4"/>
        <v>32</v>
      </c>
      <c r="U20" s="40">
        <f t="shared" si="4"/>
        <v>46</v>
      </c>
      <c r="V20" s="42">
        <f t="shared" si="4"/>
        <v>80</v>
      </c>
      <c r="W20" s="46">
        <f t="shared" ref="W20:AL22" si="5">MOD(MOD($A20-W$1*W$2,$B$2/4)+W$2*$B$2/4+$B$2/8,$B$2)+1</f>
        <v>28</v>
      </c>
      <c r="X20" s="41">
        <f t="shared" si="5"/>
        <v>43</v>
      </c>
      <c r="Y20" s="41">
        <f t="shared" si="5"/>
        <v>58</v>
      </c>
      <c r="Z20" s="73">
        <f t="shared" si="5"/>
        <v>73</v>
      </c>
      <c r="AA20" s="46">
        <f t="shared" si="5"/>
        <v>28</v>
      </c>
      <c r="AB20" s="41">
        <f t="shared" si="5"/>
        <v>45</v>
      </c>
      <c r="AC20" s="41">
        <f t="shared" si="5"/>
        <v>62</v>
      </c>
      <c r="AD20" s="73">
        <f t="shared" si="5"/>
        <v>79</v>
      </c>
      <c r="AE20" s="46">
        <f t="shared" si="5"/>
        <v>28</v>
      </c>
      <c r="AF20" s="41">
        <f t="shared" si="5"/>
        <v>47</v>
      </c>
      <c r="AG20" s="41">
        <f t="shared" si="5"/>
        <v>66</v>
      </c>
      <c r="AH20" s="73">
        <f t="shared" si="5"/>
        <v>5</v>
      </c>
      <c r="AI20" s="46">
        <f t="shared" si="5"/>
        <v>28</v>
      </c>
      <c r="AJ20" s="41">
        <f t="shared" si="5"/>
        <v>41</v>
      </c>
      <c r="AK20" s="41">
        <f t="shared" si="5"/>
        <v>54</v>
      </c>
      <c r="AL20" s="73">
        <f t="shared" si="5"/>
        <v>7</v>
      </c>
    </row>
    <row r="21" spans="1:38" x14ac:dyDescent="0.35">
      <c r="A21" s="3">
        <v>18</v>
      </c>
      <c r="B21" s="22" t="s">
        <v>19</v>
      </c>
      <c r="D21">
        <f>3*$B$2/$C$2-$E$2/2+$B$2/8+1</f>
        <v>66</v>
      </c>
      <c r="E21">
        <f>3*$B$2/$C$2+$E$2/2+$B$2/8</f>
        <v>75</v>
      </c>
      <c r="G21" s="43">
        <f t="shared" si="0"/>
        <v>19</v>
      </c>
      <c r="H21" s="40">
        <f t="shared" si="4"/>
        <v>39</v>
      </c>
      <c r="I21" s="40">
        <f t="shared" si="4"/>
        <v>59</v>
      </c>
      <c r="J21" s="66">
        <f t="shared" si="4"/>
        <v>79</v>
      </c>
      <c r="K21" s="43">
        <f t="shared" si="4"/>
        <v>19</v>
      </c>
      <c r="L21" s="40">
        <f t="shared" si="4"/>
        <v>35</v>
      </c>
      <c r="M21" s="40">
        <f t="shared" si="4"/>
        <v>51</v>
      </c>
      <c r="N21" s="66">
        <f t="shared" si="4"/>
        <v>67</v>
      </c>
      <c r="O21" s="43">
        <f t="shared" si="4"/>
        <v>19</v>
      </c>
      <c r="P21" s="40">
        <f t="shared" si="4"/>
        <v>37</v>
      </c>
      <c r="Q21" s="40">
        <f t="shared" si="4"/>
        <v>55</v>
      </c>
      <c r="R21" s="66">
        <f t="shared" si="4"/>
        <v>73</v>
      </c>
      <c r="S21" s="43">
        <f t="shared" si="4"/>
        <v>19</v>
      </c>
      <c r="T21" s="40">
        <f t="shared" si="4"/>
        <v>33</v>
      </c>
      <c r="U21" s="40">
        <f t="shared" si="4"/>
        <v>47</v>
      </c>
      <c r="V21" s="42">
        <f t="shared" si="4"/>
        <v>61</v>
      </c>
      <c r="W21" s="46">
        <f t="shared" si="5"/>
        <v>29</v>
      </c>
      <c r="X21" s="41">
        <f t="shared" si="5"/>
        <v>44</v>
      </c>
      <c r="Y21" s="41">
        <f t="shared" si="5"/>
        <v>59</v>
      </c>
      <c r="Z21" s="73">
        <f t="shared" si="5"/>
        <v>74</v>
      </c>
      <c r="AA21" s="46">
        <f t="shared" si="5"/>
        <v>29</v>
      </c>
      <c r="AB21" s="41">
        <f t="shared" si="5"/>
        <v>46</v>
      </c>
      <c r="AC21" s="41">
        <f t="shared" si="5"/>
        <v>63</v>
      </c>
      <c r="AD21" s="73">
        <f t="shared" si="5"/>
        <v>80</v>
      </c>
      <c r="AE21" s="46">
        <f t="shared" si="5"/>
        <v>29</v>
      </c>
      <c r="AF21" s="41">
        <f t="shared" si="5"/>
        <v>48</v>
      </c>
      <c r="AG21" s="41">
        <f t="shared" si="5"/>
        <v>67</v>
      </c>
      <c r="AH21" s="73">
        <f t="shared" si="5"/>
        <v>6</v>
      </c>
      <c r="AI21" s="46">
        <f t="shared" si="5"/>
        <v>29</v>
      </c>
      <c r="AJ21" s="41">
        <f t="shared" si="5"/>
        <v>42</v>
      </c>
      <c r="AK21" s="41">
        <f t="shared" si="5"/>
        <v>55</v>
      </c>
      <c r="AL21" s="73">
        <f t="shared" si="5"/>
        <v>8</v>
      </c>
    </row>
    <row r="22" spans="1:38" ht="15" thickBot="1" x14ac:dyDescent="0.4">
      <c r="A22" s="23">
        <v>19</v>
      </c>
      <c r="B22" s="24" t="s">
        <v>20</v>
      </c>
      <c r="D22">
        <f>$B$2-2</f>
        <v>78</v>
      </c>
      <c r="E22">
        <f>$B$2</f>
        <v>80</v>
      </c>
      <c r="G22" s="44">
        <f t="shared" si="0"/>
        <v>20</v>
      </c>
      <c r="H22" s="48">
        <f t="shared" si="4"/>
        <v>40</v>
      </c>
      <c r="I22" s="48">
        <f t="shared" si="4"/>
        <v>60</v>
      </c>
      <c r="J22" s="67">
        <f t="shared" si="4"/>
        <v>80</v>
      </c>
      <c r="K22" s="44">
        <f t="shared" si="4"/>
        <v>20</v>
      </c>
      <c r="L22" s="48">
        <f t="shared" si="4"/>
        <v>36</v>
      </c>
      <c r="M22" s="48">
        <f t="shared" si="4"/>
        <v>52</v>
      </c>
      <c r="N22" s="67">
        <f t="shared" si="4"/>
        <v>68</v>
      </c>
      <c r="O22" s="44">
        <f t="shared" si="4"/>
        <v>20</v>
      </c>
      <c r="P22" s="48">
        <f t="shared" si="4"/>
        <v>38</v>
      </c>
      <c r="Q22" s="48">
        <f t="shared" si="4"/>
        <v>56</v>
      </c>
      <c r="R22" s="67">
        <f t="shared" si="4"/>
        <v>74</v>
      </c>
      <c r="S22" s="44">
        <f t="shared" si="4"/>
        <v>20</v>
      </c>
      <c r="T22" s="48">
        <f t="shared" si="4"/>
        <v>34</v>
      </c>
      <c r="U22" s="48">
        <f t="shared" si="4"/>
        <v>48</v>
      </c>
      <c r="V22" s="69">
        <f t="shared" si="4"/>
        <v>62</v>
      </c>
      <c r="W22" s="47">
        <f t="shared" si="5"/>
        <v>30</v>
      </c>
      <c r="X22" s="45">
        <f t="shared" si="5"/>
        <v>45</v>
      </c>
      <c r="Y22" s="45">
        <f t="shared" si="5"/>
        <v>60</v>
      </c>
      <c r="Z22" s="74">
        <f t="shared" si="5"/>
        <v>75</v>
      </c>
      <c r="AA22" s="47">
        <f t="shared" si="5"/>
        <v>30</v>
      </c>
      <c r="AB22" s="45">
        <f t="shared" si="5"/>
        <v>47</v>
      </c>
      <c r="AC22" s="45">
        <f t="shared" si="5"/>
        <v>64</v>
      </c>
      <c r="AD22" s="74">
        <f t="shared" si="5"/>
        <v>1</v>
      </c>
      <c r="AE22" s="47">
        <f t="shared" si="5"/>
        <v>30</v>
      </c>
      <c r="AF22" s="45">
        <f t="shared" si="5"/>
        <v>49</v>
      </c>
      <c r="AG22" s="45">
        <f t="shared" si="5"/>
        <v>68</v>
      </c>
      <c r="AH22" s="74">
        <f t="shared" si="5"/>
        <v>7</v>
      </c>
      <c r="AI22" s="47">
        <f t="shared" si="5"/>
        <v>30</v>
      </c>
      <c r="AJ22" s="45">
        <f t="shared" si="5"/>
        <v>43</v>
      </c>
      <c r="AK22" s="45">
        <f t="shared" si="5"/>
        <v>56</v>
      </c>
      <c r="AL22" s="74">
        <f t="shared" si="5"/>
        <v>9</v>
      </c>
    </row>
    <row r="23" spans="1:38" x14ac:dyDescent="0.35">
      <c r="A23" s="23">
        <v>20</v>
      </c>
      <c r="B23" s="24" t="s">
        <v>20</v>
      </c>
      <c r="D23">
        <f>$B$2/$C$2+1-$B$2/8-$E$2/2</f>
        <v>6</v>
      </c>
      <c r="E23">
        <f>$B$2/$C$2+$E$2/2-$B$2/8</f>
        <v>15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6">SUM(F28:F40)</f>
        <v>45</v>
      </c>
      <c r="G41">
        <f t="shared" si="6"/>
        <v>79</v>
      </c>
      <c r="H41">
        <f t="shared" si="6"/>
        <v>70</v>
      </c>
      <c r="I41">
        <f t="shared" si="6"/>
        <v>59</v>
      </c>
      <c r="J41">
        <f t="shared" si="6"/>
        <v>51</v>
      </c>
      <c r="K41">
        <f t="shared" si="6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236" priority="6" operator="between">
      <formula>$D$17</formula>
      <formula>$E$17</formula>
    </cfRule>
    <cfRule type="cellIs" dxfId="235" priority="7" operator="between">
      <formula>$D$16</formula>
      <formula>$E$16</formula>
    </cfRule>
    <cfRule type="cellIs" dxfId="234" priority="8" operator="between">
      <formula>$D$15</formula>
      <formula>$E$15</formula>
    </cfRule>
    <cfRule type="cellIs" dxfId="233" priority="9" operator="between">
      <formula>$D$14</formula>
      <formula>$E$14</formula>
    </cfRule>
  </conditionalFormatting>
  <conditionalFormatting sqref="W3:AL22">
    <cfRule type="cellIs" dxfId="232" priority="1" operator="between">
      <formula>$D$23</formula>
      <formula>$E$23</formula>
    </cfRule>
    <cfRule type="cellIs" dxfId="231" priority="2" operator="between">
      <formula>$D$22</formula>
      <formula>$E$22</formula>
    </cfRule>
    <cfRule type="cellIs" dxfId="230" priority="3" operator="between">
      <formula>$D$21</formula>
      <formula>$E$21</formula>
    </cfRule>
    <cfRule type="cellIs" dxfId="229" priority="4" operator="between">
      <formula>$D$20</formula>
      <formula>$E$20</formula>
    </cfRule>
    <cfRule type="cellIs" dxfId="228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9">
    <pageSetUpPr fitToPage="1"/>
  </sheetPr>
  <dimension ref="A1:P45"/>
  <sheetViews>
    <sheetView topLeftCell="A14"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20</v>
      </c>
      <c r="C4" s="58">
        <v>39</v>
      </c>
      <c r="D4" s="59">
        <v>58</v>
      </c>
      <c r="E4" s="57">
        <v>1</v>
      </c>
      <c r="F4" s="58">
        <v>35</v>
      </c>
      <c r="G4" s="86">
        <v>50</v>
      </c>
      <c r="H4" s="59">
        <v>65</v>
      </c>
      <c r="I4" s="57">
        <v>1</v>
      </c>
      <c r="J4" s="58">
        <v>37</v>
      </c>
      <c r="K4" s="58">
        <v>54</v>
      </c>
      <c r="L4" s="90">
        <v>71</v>
      </c>
      <c r="M4" s="57">
        <v>1</v>
      </c>
      <c r="N4" s="86">
        <v>33</v>
      </c>
      <c r="O4" s="58">
        <v>46</v>
      </c>
      <c r="P4" s="59">
        <v>59</v>
      </c>
    </row>
    <row r="5" spans="1:16" x14ac:dyDescent="0.35">
      <c r="A5" s="82">
        <v>2</v>
      </c>
      <c r="B5" s="55">
        <v>21</v>
      </c>
      <c r="C5" s="55">
        <v>40</v>
      </c>
      <c r="D5" s="56">
        <v>59</v>
      </c>
      <c r="E5" s="75">
        <v>2</v>
      </c>
      <c r="F5" s="76">
        <v>36</v>
      </c>
      <c r="G5" s="87">
        <v>51</v>
      </c>
      <c r="H5" s="77">
        <v>66</v>
      </c>
      <c r="I5" s="49">
        <v>2</v>
      </c>
      <c r="J5" s="50">
        <v>38</v>
      </c>
      <c r="K5" s="50">
        <v>55</v>
      </c>
      <c r="L5" s="91">
        <v>72</v>
      </c>
      <c r="M5" s="75">
        <v>2</v>
      </c>
      <c r="N5" s="87">
        <v>34</v>
      </c>
      <c r="O5" s="76">
        <v>47</v>
      </c>
      <c r="P5" s="77">
        <v>60</v>
      </c>
    </row>
    <row r="6" spans="1:16" x14ac:dyDescent="0.35">
      <c r="A6" s="83">
        <v>3</v>
      </c>
      <c r="B6" s="61">
        <v>22</v>
      </c>
      <c r="C6" s="61">
        <v>41</v>
      </c>
      <c r="D6" s="62">
        <v>60</v>
      </c>
      <c r="E6" s="60">
        <v>3</v>
      </c>
      <c r="F6" s="61">
        <v>37</v>
      </c>
      <c r="G6" s="88">
        <v>52</v>
      </c>
      <c r="H6" s="62">
        <v>67</v>
      </c>
      <c r="I6" s="60">
        <v>3</v>
      </c>
      <c r="J6" s="61">
        <v>20</v>
      </c>
      <c r="K6" s="61">
        <v>56</v>
      </c>
      <c r="L6" s="92">
        <v>73</v>
      </c>
      <c r="M6" s="60">
        <v>3</v>
      </c>
      <c r="N6" s="88">
        <v>35</v>
      </c>
      <c r="O6" s="61">
        <v>48</v>
      </c>
      <c r="P6" s="62">
        <v>61</v>
      </c>
    </row>
    <row r="7" spans="1:16" x14ac:dyDescent="0.35">
      <c r="A7" s="82">
        <v>4</v>
      </c>
      <c r="B7" s="55">
        <v>23</v>
      </c>
      <c r="C7" s="55">
        <v>42</v>
      </c>
      <c r="D7" s="56">
        <v>61</v>
      </c>
      <c r="E7" s="75">
        <v>4</v>
      </c>
      <c r="F7" s="76">
        <v>38</v>
      </c>
      <c r="G7" s="87">
        <v>53</v>
      </c>
      <c r="H7" s="77">
        <v>68</v>
      </c>
      <c r="I7" s="49">
        <v>4</v>
      </c>
      <c r="J7" s="50">
        <v>21</v>
      </c>
      <c r="K7" s="50">
        <v>57</v>
      </c>
      <c r="L7" s="91">
        <v>74</v>
      </c>
      <c r="M7" s="75">
        <v>4</v>
      </c>
      <c r="N7" s="87">
        <v>36</v>
      </c>
      <c r="O7" s="76">
        <v>49</v>
      </c>
      <c r="P7" s="77">
        <v>62</v>
      </c>
    </row>
    <row r="8" spans="1:16" x14ac:dyDescent="0.35">
      <c r="A8" s="83">
        <v>5</v>
      </c>
      <c r="B8" s="61">
        <v>24</v>
      </c>
      <c r="C8" s="61">
        <v>43</v>
      </c>
      <c r="D8" s="62">
        <v>62</v>
      </c>
      <c r="E8" s="60">
        <v>5</v>
      </c>
      <c r="F8" s="61">
        <v>20</v>
      </c>
      <c r="G8" s="88">
        <v>54</v>
      </c>
      <c r="H8" s="62">
        <v>69</v>
      </c>
      <c r="I8" s="60">
        <v>5</v>
      </c>
      <c r="J8" s="61">
        <v>22</v>
      </c>
      <c r="K8" s="61">
        <v>39</v>
      </c>
      <c r="L8" s="92">
        <v>75</v>
      </c>
      <c r="M8" s="60">
        <v>5</v>
      </c>
      <c r="N8" s="88">
        <v>37</v>
      </c>
      <c r="O8" s="61">
        <v>50</v>
      </c>
      <c r="P8" s="62">
        <v>63</v>
      </c>
    </row>
    <row r="9" spans="1:16" x14ac:dyDescent="0.35">
      <c r="A9" s="82">
        <v>6</v>
      </c>
      <c r="B9" s="55">
        <v>25</v>
      </c>
      <c r="C9" s="55">
        <v>44</v>
      </c>
      <c r="D9" s="56">
        <v>63</v>
      </c>
      <c r="E9" s="75">
        <v>6</v>
      </c>
      <c r="F9" s="76">
        <v>21</v>
      </c>
      <c r="G9" s="87">
        <v>55</v>
      </c>
      <c r="H9" s="77">
        <v>70</v>
      </c>
      <c r="I9" s="49">
        <v>6</v>
      </c>
      <c r="J9" s="50">
        <v>23</v>
      </c>
      <c r="K9" s="50">
        <v>40</v>
      </c>
      <c r="L9" s="91">
        <v>76</v>
      </c>
      <c r="M9" s="75">
        <v>6</v>
      </c>
      <c r="N9" s="87">
        <v>38</v>
      </c>
      <c r="O9" s="76">
        <v>51</v>
      </c>
      <c r="P9" s="77">
        <v>64</v>
      </c>
    </row>
    <row r="10" spans="1:16" x14ac:dyDescent="0.35">
      <c r="A10" s="83">
        <v>7</v>
      </c>
      <c r="B10" s="61">
        <v>26</v>
      </c>
      <c r="C10" s="61">
        <v>45</v>
      </c>
      <c r="D10" s="62">
        <v>64</v>
      </c>
      <c r="E10" s="60">
        <v>7</v>
      </c>
      <c r="F10" s="61">
        <v>22</v>
      </c>
      <c r="G10" s="88">
        <v>56</v>
      </c>
      <c r="H10" s="62">
        <v>71</v>
      </c>
      <c r="I10" s="60">
        <v>7</v>
      </c>
      <c r="J10" s="61">
        <v>24</v>
      </c>
      <c r="K10" s="61">
        <v>41</v>
      </c>
      <c r="L10" s="92">
        <v>58</v>
      </c>
      <c r="M10" s="60">
        <v>7</v>
      </c>
      <c r="N10" s="88">
        <v>20</v>
      </c>
      <c r="O10" s="61">
        <v>52</v>
      </c>
      <c r="P10" s="62">
        <v>65</v>
      </c>
    </row>
    <row r="11" spans="1:16" x14ac:dyDescent="0.35">
      <c r="A11" s="84">
        <v>8</v>
      </c>
      <c r="B11" s="50">
        <v>27</v>
      </c>
      <c r="C11" s="50">
        <v>46</v>
      </c>
      <c r="D11" s="51">
        <v>65</v>
      </c>
      <c r="E11" s="75">
        <v>8</v>
      </c>
      <c r="F11" s="76">
        <v>23</v>
      </c>
      <c r="G11" s="87">
        <v>57</v>
      </c>
      <c r="H11" s="77">
        <v>72</v>
      </c>
      <c r="I11" s="49">
        <v>8</v>
      </c>
      <c r="J11" s="50">
        <v>25</v>
      </c>
      <c r="K11" s="50">
        <v>42</v>
      </c>
      <c r="L11" s="91">
        <v>59</v>
      </c>
      <c r="M11" s="75">
        <v>8</v>
      </c>
      <c r="N11" s="87">
        <v>21</v>
      </c>
      <c r="O11" s="76">
        <v>53</v>
      </c>
      <c r="P11" s="77">
        <v>66</v>
      </c>
    </row>
    <row r="12" spans="1:16" x14ac:dyDescent="0.35">
      <c r="A12" s="83">
        <v>9</v>
      </c>
      <c r="B12" s="61">
        <v>28</v>
      </c>
      <c r="C12" s="61">
        <v>47</v>
      </c>
      <c r="D12" s="62">
        <v>66</v>
      </c>
      <c r="E12" s="60">
        <v>9</v>
      </c>
      <c r="F12" s="61">
        <v>24</v>
      </c>
      <c r="G12" s="88">
        <v>39</v>
      </c>
      <c r="H12" s="62">
        <v>73</v>
      </c>
      <c r="I12" s="60">
        <v>9</v>
      </c>
      <c r="J12" s="61">
        <v>26</v>
      </c>
      <c r="K12" s="61">
        <v>43</v>
      </c>
      <c r="L12" s="92">
        <v>60</v>
      </c>
      <c r="M12" s="60">
        <v>9</v>
      </c>
      <c r="N12" s="88">
        <v>22</v>
      </c>
      <c r="O12" s="61">
        <v>54</v>
      </c>
      <c r="P12" s="62">
        <v>67</v>
      </c>
    </row>
    <row r="13" spans="1:16" x14ac:dyDescent="0.35">
      <c r="A13" s="84">
        <v>10</v>
      </c>
      <c r="B13" s="50">
        <v>29</v>
      </c>
      <c r="C13" s="50">
        <v>48</v>
      </c>
      <c r="D13" s="51">
        <v>67</v>
      </c>
      <c r="E13" s="75">
        <v>10</v>
      </c>
      <c r="F13" s="76">
        <v>25</v>
      </c>
      <c r="G13" s="87">
        <v>40</v>
      </c>
      <c r="H13" s="77">
        <v>74</v>
      </c>
      <c r="I13" s="49">
        <v>10</v>
      </c>
      <c r="J13" s="50">
        <v>27</v>
      </c>
      <c r="K13" s="50">
        <v>44</v>
      </c>
      <c r="L13" s="91">
        <v>61</v>
      </c>
      <c r="M13" s="75">
        <v>10</v>
      </c>
      <c r="N13" s="87">
        <v>23</v>
      </c>
      <c r="O13" s="76">
        <v>55</v>
      </c>
      <c r="P13" s="77">
        <v>68</v>
      </c>
    </row>
    <row r="14" spans="1:16" x14ac:dyDescent="0.35">
      <c r="A14" s="83">
        <v>11</v>
      </c>
      <c r="B14" s="61">
        <v>30</v>
      </c>
      <c r="C14" s="61">
        <v>49</v>
      </c>
      <c r="D14" s="62">
        <v>68</v>
      </c>
      <c r="E14" s="60">
        <v>11</v>
      </c>
      <c r="F14" s="61">
        <v>26</v>
      </c>
      <c r="G14" s="88">
        <v>41</v>
      </c>
      <c r="H14" s="62">
        <v>75</v>
      </c>
      <c r="I14" s="60">
        <v>11</v>
      </c>
      <c r="J14" s="61">
        <v>28</v>
      </c>
      <c r="K14" s="61">
        <v>45</v>
      </c>
      <c r="L14" s="92">
        <v>62</v>
      </c>
      <c r="M14" s="60">
        <v>11</v>
      </c>
      <c r="N14" s="88">
        <v>24</v>
      </c>
      <c r="O14" s="61">
        <v>56</v>
      </c>
      <c r="P14" s="62">
        <v>69</v>
      </c>
    </row>
    <row r="15" spans="1:16" x14ac:dyDescent="0.35">
      <c r="A15" s="84">
        <v>12</v>
      </c>
      <c r="B15" s="50">
        <v>31</v>
      </c>
      <c r="C15" s="50">
        <v>50</v>
      </c>
      <c r="D15" s="51">
        <v>69</v>
      </c>
      <c r="E15" s="75">
        <v>12</v>
      </c>
      <c r="F15" s="76">
        <v>27</v>
      </c>
      <c r="G15" s="87">
        <v>42</v>
      </c>
      <c r="H15" s="77">
        <v>76</v>
      </c>
      <c r="I15" s="49">
        <v>12</v>
      </c>
      <c r="J15" s="50">
        <v>29</v>
      </c>
      <c r="K15" s="50">
        <v>46</v>
      </c>
      <c r="L15" s="91">
        <v>63</v>
      </c>
      <c r="M15" s="75">
        <v>12</v>
      </c>
      <c r="N15" s="87">
        <v>25</v>
      </c>
      <c r="O15" s="76">
        <v>57</v>
      </c>
      <c r="P15" s="77">
        <v>70</v>
      </c>
    </row>
    <row r="16" spans="1:16" x14ac:dyDescent="0.35">
      <c r="A16" s="83">
        <v>13</v>
      </c>
      <c r="B16" s="61">
        <v>32</v>
      </c>
      <c r="C16" s="61">
        <v>51</v>
      </c>
      <c r="D16" s="62">
        <v>70</v>
      </c>
      <c r="E16" s="60">
        <v>13</v>
      </c>
      <c r="F16" s="61">
        <v>28</v>
      </c>
      <c r="G16" s="88">
        <v>43</v>
      </c>
      <c r="H16" s="62">
        <v>58</v>
      </c>
      <c r="I16" s="60">
        <v>13</v>
      </c>
      <c r="J16" s="61">
        <v>30</v>
      </c>
      <c r="K16" s="61">
        <v>47</v>
      </c>
      <c r="L16" s="92">
        <v>64</v>
      </c>
      <c r="M16" s="60">
        <v>13</v>
      </c>
      <c r="N16" s="88">
        <v>26</v>
      </c>
      <c r="O16" s="61">
        <v>39</v>
      </c>
      <c r="P16" s="62">
        <v>71</v>
      </c>
    </row>
    <row r="17" spans="1:16" x14ac:dyDescent="0.35">
      <c r="A17" s="84">
        <v>14</v>
      </c>
      <c r="B17" s="50">
        <v>33</v>
      </c>
      <c r="C17" s="50">
        <v>52</v>
      </c>
      <c r="D17" s="51">
        <v>71</v>
      </c>
      <c r="E17" s="75">
        <v>14</v>
      </c>
      <c r="F17" s="76">
        <v>29</v>
      </c>
      <c r="G17" s="87">
        <v>44</v>
      </c>
      <c r="H17" s="77">
        <v>59</v>
      </c>
      <c r="I17" s="49">
        <v>14</v>
      </c>
      <c r="J17" s="50">
        <v>31</v>
      </c>
      <c r="K17" s="50">
        <v>48</v>
      </c>
      <c r="L17" s="91">
        <v>65</v>
      </c>
      <c r="M17" s="75">
        <v>14</v>
      </c>
      <c r="N17" s="87">
        <v>27</v>
      </c>
      <c r="O17" s="76">
        <v>40</v>
      </c>
      <c r="P17" s="77">
        <v>72</v>
      </c>
    </row>
    <row r="18" spans="1:16" x14ac:dyDescent="0.35">
      <c r="A18" s="83">
        <v>15</v>
      </c>
      <c r="B18" s="61">
        <v>34</v>
      </c>
      <c r="C18" s="61">
        <v>53</v>
      </c>
      <c r="D18" s="62">
        <v>72</v>
      </c>
      <c r="E18" s="60">
        <v>15</v>
      </c>
      <c r="F18" s="61">
        <v>30</v>
      </c>
      <c r="G18" s="88">
        <v>45</v>
      </c>
      <c r="H18" s="62">
        <v>60</v>
      </c>
      <c r="I18" s="60">
        <v>15</v>
      </c>
      <c r="J18" s="61">
        <v>32</v>
      </c>
      <c r="K18" s="61">
        <v>49</v>
      </c>
      <c r="L18" s="92">
        <v>66</v>
      </c>
      <c r="M18" s="60">
        <v>15</v>
      </c>
      <c r="N18" s="88">
        <v>28</v>
      </c>
      <c r="O18" s="61">
        <v>41</v>
      </c>
      <c r="P18" s="62">
        <v>73</v>
      </c>
    </row>
    <row r="19" spans="1:16" x14ac:dyDescent="0.35">
      <c r="A19" s="84">
        <v>16</v>
      </c>
      <c r="B19" s="50">
        <v>35</v>
      </c>
      <c r="C19" s="50">
        <v>54</v>
      </c>
      <c r="D19" s="51">
        <v>73</v>
      </c>
      <c r="E19" s="75">
        <v>16</v>
      </c>
      <c r="F19" s="76">
        <v>31</v>
      </c>
      <c r="G19" s="87">
        <v>46</v>
      </c>
      <c r="H19" s="77">
        <v>61</v>
      </c>
      <c r="I19" s="49">
        <v>16</v>
      </c>
      <c r="J19" s="50">
        <v>33</v>
      </c>
      <c r="K19" s="50">
        <v>50</v>
      </c>
      <c r="L19" s="91">
        <v>67</v>
      </c>
      <c r="M19" s="75">
        <v>16</v>
      </c>
      <c r="N19" s="87">
        <v>29</v>
      </c>
      <c r="O19" s="76">
        <v>42</v>
      </c>
      <c r="P19" s="77">
        <v>74</v>
      </c>
    </row>
    <row r="20" spans="1:16" x14ac:dyDescent="0.35">
      <c r="A20" s="83">
        <v>17</v>
      </c>
      <c r="B20" s="61">
        <v>36</v>
      </c>
      <c r="C20" s="61">
        <v>55</v>
      </c>
      <c r="D20" s="62">
        <v>74</v>
      </c>
      <c r="E20" s="60">
        <v>17</v>
      </c>
      <c r="F20" s="61">
        <v>32</v>
      </c>
      <c r="G20" s="88">
        <v>47</v>
      </c>
      <c r="H20" s="62">
        <v>62</v>
      </c>
      <c r="I20" s="60">
        <v>17</v>
      </c>
      <c r="J20" s="61">
        <v>34</v>
      </c>
      <c r="K20" s="61">
        <v>51</v>
      </c>
      <c r="L20" s="92">
        <v>68</v>
      </c>
      <c r="M20" s="60">
        <v>17</v>
      </c>
      <c r="N20" s="88">
        <v>30</v>
      </c>
      <c r="O20" s="61">
        <v>43</v>
      </c>
      <c r="P20" s="62">
        <v>75</v>
      </c>
    </row>
    <row r="21" spans="1:16" x14ac:dyDescent="0.35">
      <c r="A21" s="84">
        <v>18</v>
      </c>
      <c r="B21" s="50">
        <v>37</v>
      </c>
      <c r="C21" s="50">
        <v>56</v>
      </c>
      <c r="D21" s="51">
        <v>75</v>
      </c>
      <c r="E21" s="75">
        <v>18</v>
      </c>
      <c r="F21" s="76">
        <v>33</v>
      </c>
      <c r="G21" s="87">
        <v>48</v>
      </c>
      <c r="H21" s="77">
        <v>63</v>
      </c>
      <c r="I21" s="49">
        <v>18</v>
      </c>
      <c r="J21" s="50">
        <v>35</v>
      </c>
      <c r="K21" s="50">
        <v>52</v>
      </c>
      <c r="L21" s="91">
        <v>69</v>
      </c>
      <c r="M21" s="75">
        <v>18</v>
      </c>
      <c r="N21" s="87">
        <v>31</v>
      </c>
      <c r="O21" s="76">
        <v>44</v>
      </c>
      <c r="P21" s="77">
        <v>76</v>
      </c>
    </row>
    <row r="22" spans="1:16" x14ac:dyDescent="0.35">
      <c r="A22" s="83">
        <v>19</v>
      </c>
      <c r="B22" s="61">
        <v>38</v>
      </c>
      <c r="C22" s="61">
        <v>57</v>
      </c>
      <c r="D22" s="62">
        <v>76</v>
      </c>
      <c r="E22" s="60">
        <v>19</v>
      </c>
      <c r="F22" s="61">
        <v>34</v>
      </c>
      <c r="G22" s="88">
        <v>49</v>
      </c>
      <c r="H22" s="62">
        <v>64</v>
      </c>
      <c r="I22" s="60">
        <v>19</v>
      </c>
      <c r="J22" s="61">
        <v>36</v>
      </c>
      <c r="K22" s="61">
        <v>53</v>
      </c>
      <c r="L22" s="92">
        <v>70</v>
      </c>
      <c r="M22" s="60">
        <v>19</v>
      </c>
      <c r="N22" s="88">
        <v>32</v>
      </c>
      <c r="O22" s="61">
        <v>45</v>
      </c>
      <c r="P22" s="62">
        <v>58</v>
      </c>
    </row>
    <row r="23" spans="1:16" ht="15" thickBot="1" x14ac:dyDescent="0.4"/>
    <row r="24" spans="1:16" x14ac:dyDescent="0.35">
      <c r="A24" s="108" t="s">
        <v>34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10"/>
    </row>
    <row r="25" spans="1:16" ht="5.25" customHeight="1" thickBot="1" x14ac:dyDescent="0.4">
      <c r="A25" s="111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3"/>
    </row>
    <row r="26" spans="1:16" ht="15" thickBot="1" x14ac:dyDescent="0.4">
      <c r="A26" s="102" t="s">
        <v>30</v>
      </c>
      <c r="B26" s="103"/>
      <c r="C26" s="103"/>
      <c r="D26" s="104"/>
      <c r="E26" s="105" t="s">
        <v>31</v>
      </c>
      <c r="F26" s="106"/>
      <c r="G26" s="106"/>
      <c r="H26" s="107"/>
      <c r="I26" s="102" t="s">
        <v>32</v>
      </c>
      <c r="J26" s="103"/>
      <c r="K26" s="103"/>
      <c r="L26" s="104"/>
      <c r="M26" s="105" t="s">
        <v>33</v>
      </c>
      <c r="N26" s="106"/>
      <c r="O26" s="106"/>
      <c r="P26" s="107"/>
    </row>
    <row r="27" spans="1:16" x14ac:dyDescent="0.35">
      <c r="A27" s="57">
        <v>11</v>
      </c>
      <c r="B27" s="86">
        <v>44</v>
      </c>
      <c r="C27" s="58">
        <v>58</v>
      </c>
      <c r="D27" s="59">
        <v>72</v>
      </c>
      <c r="E27" s="57">
        <v>11</v>
      </c>
      <c r="F27" s="58">
        <v>46</v>
      </c>
      <c r="G27" s="58">
        <v>62</v>
      </c>
      <c r="H27" s="90">
        <v>2</v>
      </c>
      <c r="I27" s="57">
        <v>11</v>
      </c>
      <c r="J27" s="58">
        <v>48</v>
      </c>
      <c r="K27" s="86">
        <v>66</v>
      </c>
      <c r="L27" s="59">
        <v>8</v>
      </c>
      <c r="M27" s="81">
        <v>11</v>
      </c>
      <c r="N27" s="58">
        <v>42</v>
      </c>
      <c r="O27" s="58">
        <v>54</v>
      </c>
      <c r="P27" s="59">
        <v>9</v>
      </c>
    </row>
    <row r="28" spans="1:16" x14ac:dyDescent="0.35">
      <c r="A28" s="94">
        <v>12</v>
      </c>
      <c r="B28" s="95">
        <v>45</v>
      </c>
      <c r="C28" s="55">
        <v>59</v>
      </c>
      <c r="D28" s="56">
        <v>73</v>
      </c>
      <c r="E28" s="75">
        <v>12</v>
      </c>
      <c r="F28" s="76">
        <v>47</v>
      </c>
      <c r="G28" s="76">
        <v>63</v>
      </c>
      <c r="H28" s="98">
        <v>3</v>
      </c>
      <c r="I28" s="49">
        <v>12</v>
      </c>
      <c r="J28" s="50">
        <v>30</v>
      </c>
      <c r="K28" s="96">
        <v>67</v>
      </c>
      <c r="L28" s="51">
        <v>9</v>
      </c>
      <c r="M28" s="100">
        <v>12</v>
      </c>
      <c r="N28" s="76">
        <v>43</v>
      </c>
      <c r="O28" s="76">
        <v>55</v>
      </c>
      <c r="P28" s="77">
        <v>10</v>
      </c>
    </row>
    <row r="29" spans="1:16" x14ac:dyDescent="0.35">
      <c r="A29" s="60">
        <v>13</v>
      </c>
      <c r="B29" s="88">
        <v>46</v>
      </c>
      <c r="C29" s="61">
        <v>60</v>
      </c>
      <c r="D29" s="62">
        <v>74</v>
      </c>
      <c r="E29" s="60">
        <v>13</v>
      </c>
      <c r="F29" s="61">
        <v>48</v>
      </c>
      <c r="G29" s="61">
        <v>64</v>
      </c>
      <c r="H29" s="92">
        <v>4</v>
      </c>
      <c r="I29" s="60">
        <v>13</v>
      </c>
      <c r="J29" s="61">
        <v>31</v>
      </c>
      <c r="K29" s="88">
        <v>49</v>
      </c>
      <c r="L29" s="62">
        <v>10</v>
      </c>
      <c r="M29" s="83">
        <v>13</v>
      </c>
      <c r="N29" s="61">
        <v>44</v>
      </c>
      <c r="O29" s="61">
        <v>56</v>
      </c>
      <c r="P29" s="62">
        <v>68</v>
      </c>
    </row>
    <row r="30" spans="1:16" x14ac:dyDescent="0.35">
      <c r="A30" s="94">
        <v>14</v>
      </c>
      <c r="B30" s="95">
        <v>47</v>
      </c>
      <c r="C30" s="55">
        <v>61</v>
      </c>
      <c r="D30" s="56">
        <v>75</v>
      </c>
      <c r="E30" s="75">
        <v>14</v>
      </c>
      <c r="F30" s="76">
        <v>30</v>
      </c>
      <c r="G30" s="76">
        <v>65</v>
      </c>
      <c r="H30" s="98">
        <v>5</v>
      </c>
      <c r="I30" s="49">
        <v>14</v>
      </c>
      <c r="J30" s="50">
        <v>32</v>
      </c>
      <c r="K30" s="96">
        <v>50</v>
      </c>
      <c r="L30" s="51">
        <v>68</v>
      </c>
      <c r="M30" s="100">
        <v>14</v>
      </c>
      <c r="N30" s="76">
        <v>45</v>
      </c>
      <c r="O30" s="76">
        <v>57</v>
      </c>
      <c r="P30" s="77">
        <v>69</v>
      </c>
    </row>
    <row r="31" spans="1:16" x14ac:dyDescent="0.35">
      <c r="A31" s="60">
        <v>15</v>
      </c>
      <c r="B31" s="88">
        <v>48</v>
      </c>
      <c r="C31" s="61">
        <v>62</v>
      </c>
      <c r="D31" s="62">
        <v>76</v>
      </c>
      <c r="E31" s="60">
        <v>15</v>
      </c>
      <c r="F31" s="61">
        <v>31</v>
      </c>
      <c r="G31" s="61">
        <v>66</v>
      </c>
      <c r="H31" s="92">
        <v>6</v>
      </c>
      <c r="I31" s="60">
        <v>15</v>
      </c>
      <c r="J31" s="61">
        <v>33</v>
      </c>
      <c r="K31" s="88">
        <v>51</v>
      </c>
      <c r="L31" s="62">
        <v>69</v>
      </c>
      <c r="M31" s="83">
        <v>15</v>
      </c>
      <c r="N31" s="61">
        <v>46</v>
      </c>
      <c r="O31" s="61">
        <v>58</v>
      </c>
      <c r="P31" s="62">
        <v>70</v>
      </c>
    </row>
    <row r="32" spans="1:16" x14ac:dyDescent="0.35">
      <c r="A32" s="94">
        <v>16</v>
      </c>
      <c r="B32" s="95">
        <v>30</v>
      </c>
      <c r="C32" s="55">
        <v>63</v>
      </c>
      <c r="D32" s="56">
        <v>1</v>
      </c>
      <c r="E32" s="75">
        <v>16</v>
      </c>
      <c r="F32" s="76">
        <v>32</v>
      </c>
      <c r="G32" s="76">
        <v>67</v>
      </c>
      <c r="H32" s="98">
        <v>7</v>
      </c>
      <c r="I32" s="49">
        <v>16</v>
      </c>
      <c r="J32" s="50">
        <v>34</v>
      </c>
      <c r="K32" s="96">
        <v>52</v>
      </c>
      <c r="L32" s="51">
        <v>70</v>
      </c>
      <c r="M32" s="100">
        <v>16</v>
      </c>
      <c r="N32" s="76">
        <v>47</v>
      </c>
      <c r="O32" s="76">
        <v>59</v>
      </c>
      <c r="P32" s="77">
        <v>71</v>
      </c>
    </row>
    <row r="33" spans="1:16" x14ac:dyDescent="0.35">
      <c r="A33" s="60">
        <v>17</v>
      </c>
      <c r="B33" s="88">
        <v>31</v>
      </c>
      <c r="C33" s="61">
        <v>64</v>
      </c>
      <c r="D33" s="62">
        <v>2</v>
      </c>
      <c r="E33" s="60">
        <v>17</v>
      </c>
      <c r="F33" s="61">
        <v>33</v>
      </c>
      <c r="G33" s="61">
        <v>49</v>
      </c>
      <c r="H33" s="92">
        <v>8</v>
      </c>
      <c r="I33" s="60">
        <v>17</v>
      </c>
      <c r="J33" s="61">
        <v>35</v>
      </c>
      <c r="K33" s="88">
        <v>53</v>
      </c>
      <c r="L33" s="62">
        <v>71</v>
      </c>
      <c r="M33" s="83">
        <v>17</v>
      </c>
      <c r="N33" s="61">
        <v>48</v>
      </c>
      <c r="O33" s="61">
        <v>60</v>
      </c>
      <c r="P33" s="62">
        <v>72</v>
      </c>
    </row>
    <row r="34" spans="1:16" x14ac:dyDescent="0.35">
      <c r="A34" s="49">
        <v>18</v>
      </c>
      <c r="B34" s="96">
        <v>32</v>
      </c>
      <c r="C34" s="50">
        <v>65</v>
      </c>
      <c r="D34" s="51">
        <v>3</v>
      </c>
      <c r="E34" s="75">
        <v>18</v>
      </c>
      <c r="F34" s="76">
        <v>34</v>
      </c>
      <c r="G34" s="76">
        <v>50</v>
      </c>
      <c r="H34" s="98">
        <v>9</v>
      </c>
      <c r="I34" s="49">
        <v>18</v>
      </c>
      <c r="J34" s="50">
        <v>36</v>
      </c>
      <c r="K34" s="96">
        <v>54</v>
      </c>
      <c r="L34" s="51">
        <v>72</v>
      </c>
      <c r="M34" s="100">
        <v>18</v>
      </c>
      <c r="N34" s="76">
        <v>30</v>
      </c>
      <c r="O34" s="76">
        <v>61</v>
      </c>
      <c r="P34" s="77">
        <v>73</v>
      </c>
    </row>
    <row r="35" spans="1:16" x14ac:dyDescent="0.35">
      <c r="A35" s="60">
        <v>19</v>
      </c>
      <c r="B35" s="88">
        <v>33</v>
      </c>
      <c r="C35" s="61">
        <v>66</v>
      </c>
      <c r="D35" s="62">
        <v>4</v>
      </c>
      <c r="E35" s="60">
        <v>19</v>
      </c>
      <c r="F35" s="61">
        <v>35</v>
      </c>
      <c r="G35" s="61">
        <v>51</v>
      </c>
      <c r="H35" s="92">
        <v>10</v>
      </c>
      <c r="I35" s="60">
        <v>19</v>
      </c>
      <c r="J35" s="61">
        <v>37</v>
      </c>
      <c r="K35" s="88">
        <v>55</v>
      </c>
      <c r="L35" s="62">
        <v>73</v>
      </c>
      <c r="M35" s="83">
        <v>19</v>
      </c>
      <c r="N35" s="61">
        <v>31</v>
      </c>
      <c r="O35" s="61">
        <v>62</v>
      </c>
      <c r="P35" s="62">
        <v>74</v>
      </c>
    </row>
    <row r="36" spans="1:16" x14ac:dyDescent="0.35">
      <c r="A36" s="49">
        <v>20</v>
      </c>
      <c r="B36" s="96">
        <v>34</v>
      </c>
      <c r="C36" s="50">
        <v>67</v>
      </c>
      <c r="D36" s="51">
        <v>5</v>
      </c>
      <c r="E36" s="75">
        <v>20</v>
      </c>
      <c r="F36" s="76">
        <v>36</v>
      </c>
      <c r="G36" s="76">
        <v>52</v>
      </c>
      <c r="H36" s="98">
        <v>68</v>
      </c>
      <c r="I36" s="49">
        <v>20</v>
      </c>
      <c r="J36" s="50">
        <v>38</v>
      </c>
      <c r="K36" s="96">
        <v>56</v>
      </c>
      <c r="L36" s="51">
        <v>74</v>
      </c>
      <c r="M36" s="100">
        <v>20</v>
      </c>
      <c r="N36" s="76">
        <v>32</v>
      </c>
      <c r="O36" s="76">
        <v>63</v>
      </c>
      <c r="P36" s="77">
        <v>75</v>
      </c>
    </row>
    <row r="37" spans="1:16" x14ac:dyDescent="0.35">
      <c r="A37" s="60">
        <v>21</v>
      </c>
      <c r="B37" s="88">
        <v>35</v>
      </c>
      <c r="C37" s="61">
        <v>49</v>
      </c>
      <c r="D37" s="62">
        <v>6</v>
      </c>
      <c r="E37" s="60">
        <v>21</v>
      </c>
      <c r="F37" s="61">
        <v>37</v>
      </c>
      <c r="G37" s="61">
        <v>53</v>
      </c>
      <c r="H37" s="92">
        <v>69</v>
      </c>
      <c r="I37" s="60">
        <v>21</v>
      </c>
      <c r="J37" s="61">
        <v>39</v>
      </c>
      <c r="K37" s="88">
        <v>57</v>
      </c>
      <c r="L37" s="62">
        <v>75</v>
      </c>
      <c r="M37" s="83">
        <v>21</v>
      </c>
      <c r="N37" s="61">
        <v>33</v>
      </c>
      <c r="O37" s="61">
        <v>64</v>
      </c>
      <c r="P37" s="62">
        <v>76</v>
      </c>
    </row>
    <row r="38" spans="1:16" x14ac:dyDescent="0.35">
      <c r="A38" s="49">
        <v>22</v>
      </c>
      <c r="B38" s="96">
        <v>36</v>
      </c>
      <c r="C38" s="50">
        <v>50</v>
      </c>
      <c r="D38" s="51">
        <v>7</v>
      </c>
      <c r="E38" s="75">
        <v>22</v>
      </c>
      <c r="F38" s="76">
        <v>38</v>
      </c>
      <c r="G38" s="76">
        <v>54</v>
      </c>
      <c r="H38" s="98">
        <v>70</v>
      </c>
      <c r="I38" s="49">
        <v>22</v>
      </c>
      <c r="J38" s="50">
        <v>40</v>
      </c>
      <c r="K38" s="96">
        <v>58</v>
      </c>
      <c r="L38" s="51">
        <v>76</v>
      </c>
      <c r="M38" s="100">
        <v>22</v>
      </c>
      <c r="N38" s="76">
        <v>34</v>
      </c>
      <c r="O38" s="76">
        <v>65</v>
      </c>
      <c r="P38" s="77">
        <v>1</v>
      </c>
    </row>
    <row r="39" spans="1:16" x14ac:dyDescent="0.35">
      <c r="A39" s="60">
        <v>23</v>
      </c>
      <c r="B39" s="88">
        <v>37</v>
      </c>
      <c r="C39" s="61">
        <v>51</v>
      </c>
      <c r="D39" s="62">
        <v>8</v>
      </c>
      <c r="E39" s="60">
        <v>23</v>
      </c>
      <c r="F39" s="61">
        <v>39</v>
      </c>
      <c r="G39" s="61">
        <v>55</v>
      </c>
      <c r="H39" s="92">
        <v>71</v>
      </c>
      <c r="I39" s="60">
        <v>23</v>
      </c>
      <c r="J39" s="61">
        <v>41</v>
      </c>
      <c r="K39" s="88">
        <v>59</v>
      </c>
      <c r="L39" s="62">
        <v>1</v>
      </c>
      <c r="M39" s="83">
        <v>23</v>
      </c>
      <c r="N39" s="61">
        <v>35</v>
      </c>
      <c r="O39" s="61">
        <v>66</v>
      </c>
      <c r="P39" s="62">
        <v>2</v>
      </c>
    </row>
    <row r="40" spans="1:16" x14ac:dyDescent="0.35">
      <c r="A40" s="49">
        <v>24</v>
      </c>
      <c r="B40" s="96">
        <v>38</v>
      </c>
      <c r="C40" s="50">
        <v>52</v>
      </c>
      <c r="D40" s="51">
        <v>9</v>
      </c>
      <c r="E40" s="75">
        <v>24</v>
      </c>
      <c r="F40" s="76">
        <v>40</v>
      </c>
      <c r="G40" s="76">
        <v>56</v>
      </c>
      <c r="H40" s="98">
        <v>72</v>
      </c>
      <c r="I40" s="49">
        <v>24</v>
      </c>
      <c r="J40" s="50">
        <v>42</v>
      </c>
      <c r="K40" s="96">
        <v>60</v>
      </c>
      <c r="L40" s="51">
        <v>2</v>
      </c>
      <c r="M40" s="100">
        <v>24</v>
      </c>
      <c r="N40" s="76">
        <v>36</v>
      </c>
      <c r="O40" s="76">
        <v>67</v>
      </c>
      <c r="P40" s="77">
        <v>3</v>
      </c>
    </row>
    <row r="41" spans="1:16" x14ac:dyDescent="0.35">
      <c r="A41" s="60">
        <v>25</v>
      </c>
      <c r="B41" s="88">
        <v>39</v>
      </c>
      <c r="C41" s="61">
        <v>53</v>
      </c>
      <c r="D41" s="62">
        <v>10</v>
      </c>
      <c r="E41" s="60">
        <v>25</v>
      </c>
      <c r="F41" s="61">
        <v>41</v>
      </c>
      <c r="G41" s="61">
        <v>57</v>
      </c>
      <c r="H41" s="92">
        <v>73</v>
      </c>
      <c r="I41" s="60">
        <v>25</v>
      </c>
      <c r="J41" s="61">
        <v>43</v>
      </c>
      <c r="K41" s="88">
        <v>61</v>
      </c>
      <c r="L41" s="62">
        <v>3</v>
      </c>
      <c r="M41" s="83">
        <v>25</v>
      </c>
      <c r="N41" s="61">
        <v>37</v>
      </c>
      <c r="O41" s="61">
        <v>49</v>
      </c>
      <c r="P41" s="62">
        <v>4</v>
      </c>
    </row>
    <row r="42" spans="1:16" x14ac:dyDescent="0.35">
      <c r="A42" s="49">
        <v>26</v>
      </c>
      <c r="B42" s="96">
        <v>40</v>
      </c>
      <c r="C42" s="50">
        <v>54</v>
      </c>
      <c r="D42" s="51">
        <v>68</v>
      </c>
      <c r="E42" s="75">
        <v>26</v>
      </c>
      <c r="F42" s="76">
        <v>42</v>
      </c>
      <c r="G42" s="76">
        <v>58</v>
      </c>
      <c r="H42" s="98">
        <v>74</v>
      </c>
      <c r="I42" s="49">
        <v>26</v>
      </c>
      <c r="J42" s="50">
        <v>44</v>
      </c>
      <c r="K42" s="96">
        <v>62</v>
      </c>
      <c r="L42" s="51">
        <v>4</v>
      </c>
      <c r="M42" s="100">
        <v>26</v>
      </c>
      <c r="N42" s="76">
        <v>38</v>
      </c>
      <c r="O42" s="76">
        <v>50</v>
      </c>
      <c r="P42" s="77">
        <v>5</v>
      </c>
    </row>
    <row r="43" spans="1:16" x14ac:dyDescent="0.35">
      <c r="A43" s="60">
        <v>27</v>
      </c>
      <c r="B43" s="88">
        <v>41</v>
      </c>
      <c r="C43" s="61">
        <v>55</v>
      </c>
      <c r="D43" s="62">
        <v>69</v>
      </c>
      <c r="E43" s="60">
        <v>27</v>
      </c>
      <c r="F43" s="61">
        <v>43</v>
      </c>
      <c r="G43" s="61">
        <v>59</v>
      </c>
      <c r="H43" s="92">
        <v>75</v>
      </c>
      <c r="I43" s="60">
        <v>27</v>
      </c>
      <c r="J43" s="61">
        <v>45</v>
      </c>
      <c r="K43" s="88">
        <v>63</v>
      </c>
      <c r="L43" s="62">
        <v>5</v>
      </c>
      <c r="M43" s="83">
        <v>27</v>
      </c>
      <c r="N43" s="61">
        <v>39</v>
      </c>
      <c r="O43" s="61">
        <v>51</v>
      </c>
      <c r="P43" s="62">
        <v>6</v>
      </c>
    </row>
    <row r="44" spans="1:16" x14ac:dyDescent="0.35">
      <c r="A44" s="49">
        <v>28</v>
      </c>
      <c r="B44" s="96">
        <v>42</v>
      </c>
      <c r="C44" s="50">
        <v>56</v>
      </c>
      <c r="D44" s="51">
        <v>70</v>
      </c>
      <c r="E44" s="75">
        <v>28</v>
      </c>
      <c r="F44" s="76">
        <v>44</v>
      </c>
      <c r="G44" s="76">
        <v>60</v>
      </c>
      <c r="H44" s="98">
        <v>76</v>
      </c>
      <c r="I44" s="49">
        <v>28</v>
      </c>
      <c r="J44" s="50">
        <v>46</v>
      </c>
      <c r="K44" s="96">
        <v>64</v>
      </c>
      <c r="L44" s="51">
        <v>6</v>
      </c>
      <c r="M44" s="100">
        <v>28</v>
      </c>
      <c r="N44" s="76">
        <v>40</v>
      </c>
      <c r="O44" s="76">
        <v>52</v>
      </c>
      <c r="P44" s="77">
        <v>7</v>
      </c>
    </row>
    <row r="45" spans="1:16" x14ac:dyDescent="0.35">
      <c r="A45" s="60">
        <v>29</v>
      </c>
      <c r="B45" s="88">
        <v>43</v>
      </c>
      <c r="C45" s="61">
        <v>57</v>
      </c>
      <c r="D45" s="62">
        <v>71</v>
      </c>
      <c r="E45" s="60">
        <v>29</v>
      </c>
      <c r="F45" s="61">
        <v>45</v>
      </c>
      <c r="G45" s="61">
        <v>61</v>
      </c>
      <c r="H45" s="92">
        <v>1</v>
      </c>
      <c r="I45" s="60">
        <v>29</v>
      </c>
      <c r="J45" s="61">
        <v>47</v>
      </c>
      <c r="K45" s="88">
        <v>65</v>
      </c>
      <c r="L45" s="62">
        <v>7</v>
      </c>
      <c r="M45" s="83">
        <v>29</v>
      </c>
      <c r="N45" s="61">
        <v>41</v>
      </c>
      <c r="O45" s="61">
        <v>53</v>
      </c>
      <c r="P45" s="62">
        <v>8</v>
      </c>
    </row>
  </sheetData>
  <mergeCells count="10">
    <mergeCell ref="A26:D26"/>
    <mergeCell ref="E26:H26"/>
    <mergeCell ref="I26:L26"/>
    <mergeCell ref="M26:P26"/>
    <mergeCell ref="A1:P2"/>
    <mergeCell ref="A3:D3"/>
    <mergeCell ref="E3:H3"/>
    <mergeCell ref="I3:L3"/>
    <mergeCell ref="M3:P3"/>
    <mergeCell ref="A24:P25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85" orientation="landscape" r:id="rId1"/>
  <headerFooter>
    <oddHeader>&amp;C&amp;"-,Tučné"&amp;16&amp;A hráčů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ist10"/>
  <dimension ref="A1:AL82"/>
  <sheetViews>
    <sheetView topLeftCell="N1" workbookViewId="0">
      <selection activeCell="AB28" sqref="AB28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2</v>
      </c>
      <c r="C1">
        <f>FLOOR(2*$B$2/32,1)</f>
        <v>4</v>
      </c>
      <c r="D1">
        <f>FLOOR(3*$B$2/32,1)</f>
        <v>7</v>
      </c>
      <c r="G1" s="6">
        <v>0</v>
      </c>
      <c r="H1" s="7">
        <v>0</v>
      </c>
      <c r="I1" s="7">
        <v>0</v>
      </c>
      <c r="J1" s="7">
        <v>0</v>
      </c>
      <c r="K1">
        <v>4</v>
      </c>
      <c r="L1">
        <v>4</v>
      </c>
      <c r="M1">
        <v>4</v>
      </c>
      <c r="N1">
        <v>4</v>
      </c>
      <c r="O1" s="8">
        <v>2</v>
      </c>
      <c r="P1" s="9">
        <v>2</v>
      </c>
      <c r="Q1" s="9">
        <v>2</v>
      </c>
      <c r="R1" s="10">
        <v>2</v>
      </c>
      <c r="S1">
        <v>6</v>
      </c>
      <c r="T1">
        <v>6</v>
      </c>
      <c r="U1">
        <v>6</v>
      </c>
      <c r="V1">
        <v>6</v>
      </c>
      <c r="W1" s="8">
        <v>5</v>
      </c>
      <c r="X1" s="9">
        <v>5</v>
      </c>
      <c r="Y1" s="9">
        <v>5</v>
      </c>
      <c r="Z1" s="10">
        <v>5</v>
      </c>
      <c r="AA1">
        <v>3</v>
      </c>
      <c r="AB1">
        <v>3</v>
      </c>
      <c r="AC1">
        <v>3</v>
      </c>
      <c r="AD1">
        <v>3</v>
      </c>
      <c r="AE1" s="8">
        <v>1</v>
      </c>
      <c r="AF1" s="9">
        <v>1</v>
      </c>
      <c r="AG1" s="9">
        <v>1</v>
      </c>
      <c r="AH1" s="10">
        <v>1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76</v>
      </c>
      <c r="C2">
        <v>4</v>
      </c>
      <c r="D2">
        <v>8</v>
      </c>
      <c r="E2">
        <v>10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G21" si="0">MOD($A3-G$1*G$2,$B$2/4)+G$2*$B$2/4+1</f>
        <v>1</v>
      </c>
      <c r="H3" s="64">
        <f t="shared" ref="H3:V18" si="1">MOD($A3-H$1*H$2,$B$2/4)+H$2*$B$2/4+1</f>
        <v>20</v>
      </c>
      <c r="I3" s="64">
        <f t="shared" si="1"/>
        <v>39</v>
      </c>
      <c r="J3" s="65">
        <f t="shared" si="1"/>
        <v>58</v>
      </c>
      <c r="K3" s="63">
        <f t="shared" si="1"/>
        <v>1</v>
      </c>
      <c r="L3" s="64">
        <f t="shared" si="1"/>
        <v>35</v>
      </c>
      <c r="M3" s="64">
        <f t="shared" si="1"/>
        <v>50</v>
      </c>
      <c r="N3" s="65">
        <f t="shared" si="1"/>
        <v>65</v>
      </c>
      <c r="O3" s="63">
        <f t="shared" si="1"/>
        <v>1</v>
      </c>
      <c r="P3" s="64">
        <f t="shared" si="1"/>
        <v>37</v>
      </c>
      <c r="Q3" s="64">
        <f t="shared" si="1"/>
        <v>54</v>
      </c>
      <c r="R3" s="65">
        <f t="shared" si="1"/>
        <v>71</v>
      </c>
      <c r="S3" s="63">
        <f t="shared" si="1"/>
        <v>1</v>
      </c>
      <c r="T3" s="64">
        <f t="shared" si="1"/>
        <v>33</v>
      </c>
      <c r="U3" s="64">
        <f t="shared" si="1"/>
        <v>46</v>
      </c>
      <c r="V3" s="65">
        <f t="shared" si="1"/>
        <v>59</v>
      </c>
      <c r="W3" s="46">
        <f t="shared" ref="W3:W21" si="2">MOD(MOD($A3-W$1*W$2,$B$2/4)+W$2*$B$2/4+ROUND($B$2/8,0),$B$2)+1</f>
        <v>11</v>
      </c>
      <c r="X3" s="46">
        <f t="shared" ref="X3:AL18" si="3">MOD(MOD($A3-X$1*X$2,$B$2/4)+X$2*$B$2/4+ROUND($B$2/8,0),$B$2)+1</f>
        <v>44</v>
      </c>
      <c r="Y3" s="46">
        <f t="shared" si="3"/>
        <v>58</v>
      </c>
      <c r="Z3" s="46">
        <f t="shared" si="3"/>
        <v>72</v>
      </c>
      <c r="AA3" s="46">
        <f t="shared" si="3"/>
        <v>11</v>
      </c>
      <c r="AB3" s="46">
        <f t="shared" si="3"/>
        <v>46</v>
      </c>
      <c r="AC3" s="46">
        <f t="shared" si="3"/>
        <v>62</v>
      </c>
      <c r="AD3" s="46">
        <f t="shared" si="3"/>
        <v>2</v>
      </c>
      <c r="AE3" s="46">
        <f t="shared" si="3"/>
        <v>11</v>
      </c>
      <c r="AF3" s="46">
        <f t="shared" si="3"/>
        <v>48</v>
      </c>
      <c r="AG3" s="46">
        <f t="shared" si="3"/>
        <v>66</v>
      </c>
      <c r="AH3" s="46">
        <f t="shared" si="3"/>
        <v>8</v>
      </c>
      <c r="AI3" s="46">
        <f t="shared" si="3"/>
        <v>11</v>
      </c>
      <c r="AJ3" s="46">
        <f t="shared" si="3"/>
        <v>42</v>
      </c>
      <c r="AK3" s="46">
        <f t="shared" si="3"/>
        <v>54</v>
      </c>
      <c r="AL3" s="46">
        <f t="shared" si="3"/>
        <v>9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1"/>
        <v>21</v>
      </c>
      <c r="I4" s="40">
        <f t="shared" si="1"/>
        <v>40</v>
      </c>
      <c r="J4" s="66">
        <f t="shared" si="1"/>
        <v>59</v>
      </c>
      <c r="K4" s="43">
        <f t="shared" si="1"/>
        <v>2</v>
      </c>
      <c r="L4" s="40">
        <f t="shared" si="1"/>
        <v>36</v>
      </c>
      <c r="M4" s="40">
        <f t="shared" si="1"/>
        <v>51</v>
      </c>
      <c r="N4" s="66">
        <f t="shared" si="1"/>
        <v>66</v>
      </c>
      <c r="O4" s="43">
        <f t="shared" si="1"/>
        <v>2</v>
      </c>
      <c r="P4" s="40">
        <f t="shared" si="1"/>
        <v>38</v>
      </c>
      <c r="Q4" s="40">
        <f t="shared" si="1"/>
        <v>55</v>
      </c>
      <c r="R4" s="66">
        <f t="shared" si="1"/>
        <v>72</v>
      </c>
      <c r="S4" s="43">
        <f t="shared" si="1"/>
        <v>2</v>
      </c>
      <c r="T4" s="40">
        <f t="shared" si="1"/>
        <v>34</v>
      </c>
      <c r="U4" s="40">
        <f t="shared" si="1"/>
        <v>47</v>
      </c>
      <c r="V4" s="66">
        <f t="shared" si="1"/>
        <v>60</v>
      </c>
      <c r="W4" s="46">
        <f t="shared" si="2"/>
        <v>12</v>
      </c>
      <c r="X4" s="46">
        <f t="shared" si="3"/>
        <v>45</v>
      </c>
      <c r="Y4" s="46">
        <f t="shared" si="3"/>
        <v>59</v>
      </c>
      <c r="Z4" s="46">
        <f t="shared" si="3"/>
        <v>73</v>
      </c>
      <c r="AA4" s="46">
        <f t="shared" si="3"/>
        <v>12</v>
      </c>
      <c r="AB4" s="46">
        <f t="shared" si="3"/>
        <v>47</v>
      </c>
      <c r="AC4" s="46">
        <f t="shared" si="3"/>
        <v>63</v>
      </c>
      <c r="AD4" s="46">
        <f t="shared" si="3"/>
        <v>3</v>
      </c>
      <c r="AE4" s="46">
        <f t="shared" si="3"/>
        <v>12</v>
      </c>
      <c r="AF4" s="46">
        <f t="shared" si="3"/>
        <v>30</v>
      </c>
      <c r="AG4" s="46">
        <f t="shared" si="3"/>
        <v>67</v>
      </c>
      <c r="AH4" s="46">
        <f t="shared" si="3"/>
        <v>9</v>
      </c>
      <c r="AI4" s="46">
        <f t="shared" si="3"/>
        <v>12</v>
      </c>
      <c r="AJ4" s="46">
        <f t="shared" si="3"/>
        <v>43</v>
      </c>
      <c r="AK4" s="46">
        <f t="shared" si="3"/>
        <v>55</v>
      </c>
      <c r="AL4" s="46">
        <f t="shared" si="3"/>
        <v>10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1"/>
        <v>22</v>
      </c>
      <c r="I5" s="40">
        <f t="shared" si="1"/>
        <v>41</v>
      </c>
      <c r="J5" s="66">
        <f t="shared" si="1"/>
        <v>60</v>
      </c>
      <c r="K5" s="43">
        <f t="shared" si="1"/>
        <v>3</v>
      </c>
      <c r="L5" s="40">
        <f t="shared" si="1"/>
        <v>37</v>
      </c>
      <c r="M5" s="40">
        <f t="shared" si="1"/>
        <v>52</v>
      </c>
      <c r="N5" s="66">
        <f t="shared" si="1"/>
        <v>67</v>
      </c>
      <c r="O5" s="43">
        <f t="shared" si="1"/>
        <v>3</v>
      </c>
      <c r="P5" s="40">
        <f t="shared" si="1"/>
        <v>20</v>
      </c>
      <c r="Q5" s="40">
        <f t="shared" si="1"/>
        <v>56</v>
      </c>
      <c r="R5" s="66">
        <f t="shared" si="1"/>
        <v>73</v>
      </c>
      <c r="S5" s="43">
        <f t="shared" si="1"/>
        <v>3</v>
      </c>
      <c r="T5" s="40">
        <f t="shared" si="1"/>
        <v>35</v>
      </c>
      <c r="U5" s="40">
        <f t="shared" si="1"/>
        <v>48</v>
      </c>
      <c r="V5" s="66">
        <f t="shared" si="1"/>
        <v>61</v>
      </c>
      <c r="W5" s="46">
        <f t="shared" si="2"/>
        <v>13</v>
      </c>
      <c r="X5" s="46">
        <f t="shared" si="3"/>
        <v>46</v>
      </c>
      <c r="Y5" s="46">
        <f t="shared" si="3"/>
        <v>60</v>
      </c>
      <c r="Z5" s="46">
        <f t="shared" si="3"/>
        <v>74</v>
      </c>
      <c r="AA5" s="46">
        <f t="shared" si="3"/>
        <v>13</v>
      </c>
      <c r="AB5" s="46">
        <f t="shared" si="3"/>
        <v>48</v>
      </c>
      <c r="AC5" s="46">
        <f t="shared" si="3"/>
        <v>64</v>
      </c>
      <c r="AD5" s="46">
        <f t="shared" si="3"/>
        <v>4</v>
      </c>
      <c r="AE5" s="46">
        <f t="shared" si="3"/>
        <v>13</v>
      </c>
      <c r="AF5" s="46">
        <f t="shared" si="3"/>
        <v>31</v>
      </c>
      <c r="AG5" s="46">
        <f t="shared" si="3"/>
        <v>49</v>
      </c>
      <c r="AH5" s="46">
        <f t="shared" si="3"/>
        <v>10</v>
      </c>
      <c r="AI5" s="46">
        <f t="shared" si="3"/>
        <v>13</v>
      </c>
      <c r="AJ5" s="46">
        <f t="shared" si="3"/>
        <v>44</v>
      </c>
      <c r="AK5" s="46">
        <f t="shared" si="3"/>
        <v>56</v>
      </c>
      <c r="AL5" s="46">
        <f t="shared" si="3"/>
        <v>68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1"/>
        <v>23</v>
      </c>
      <c r="I6" s="40">
        <f t="shared" si="1"/>
        <v>42</v>
      </c>
      <c r="J6" s="66">
        <f t="shared" si="1"/>
        <v>61</v>
      </c>
      <c r="K6" s="43">
        <f t="shared" si="1"/>
        <v>4</v>
      </c>
      <c r="L6" s="40">
        <f t="shared" si="1"/>
        <v>38</v>
      </c>
      <c r="M6" s="40">
        <f t="shared" si="1"/>
        <v>53</v>
      </c>
      <c r="N6" s="66">
        <f t="shared" si="1"/>
        <v>68</v>
      </c>
      <c r="O6" s="43">
        <f t="shared" si="1"/>
        <v>4</v>
      </c>
      <c r="P6" s="40">
        <f t="shared" si="1"/>
        <v>21</v>
      </c>
      <c r="Q6" s="40">
        <f t="shared" si="1"/>
        <v>57</v>
      </c>
      <c r="R6" s="66">
        <f t="shared" si="1"/>
        <v>74</v>
      </c>
      <c r="S6" s="43">
        <f t="shared" si="1"/>
        <v>4</v>
      </c>
      <c r="T6" s="40">
        <f t="shared" si="1"/>
        <v>36</v>
      </c>
      <c r="U6" s="40">
        <f t="shared" si="1"/>
        <v>49</v>
      </c>
      <c r="V6" s="66">
        <f t="shared" si="1"/>
        <v>62</v>
      </c>
      <c r="W6" s="46">
        <f t="shared" si="2"/>
        <v>14</v>
      </c>
      <c r="X6" s="46">
        <f t="shared" si="3"/>
        <v>47</v>
      </c>
      <c r="Y6" s="46">
        <f t="shared" si="3"/>
        <v>61</v>
      </c>
      <c r="Z6" s="46">
        <f t="shared" si="3"/>
        <v>75</v>
      </c>
      <c r="AA6" s="46">
        <f t="shared" si="3"/>
        <v>14</v>
      </c>
      <c r="AB6" s="46">
        <f t="shared" si="3"/>
        <v>30</v>
      </c>
      <c r="AC6" s="46">
        <f t="shared" si="3"/>
        <v>65</v>
      </c>
      <c r="AD6" s="46">
        <f t="shared" si="3"/>
        <v>5</v>
      </c>
      <c r="AE6" s="46">
        <f t="shared" si="3"/>
        <v>14</v>
      </c>
      <c r="AF6" s="46">
        <f t="shared" si="3"/>
        <v>32</v>
      </c>
      <c r="AG6" s="46">
        <f t="shared" si="3"/>
        <v>50</v>
      </c>
      <c r="AH6" s="46">
        <f t="shared" si="3"/>
        <v>68</v>
      </c>
      <c r="AI6" s="46">
        <f t="shared" si="3"/>
        <v>14</v>
      </c>
      <c r="AJ6" s="46">
        <f t="shared" si="3"/>
        <v>45</v>
      </c>
      <c r="AK6" s="46">
        <f t="shared" si="3"/>
        <v>57</v>
      </c>
      <c r="AL6" s="46">
        <f t="shared" si="3"/>
        <v>69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1"/>
        <v>24</v>
      </c>
      <c r="I7" s="40">
        <f t="shared" si="1"/>
        <v>43</v>
      </c>
      <c r="J7" s="66">
        <f t="shared" si="1"/>
        <v>62</v>
      </c>
      <c r="K7" s="43">
        <f t="shared" si="1"/>
        <v>5</v>
      </c>
      <c r="L7" s="40">
        <f t="shared" si="1"/>
        <v>20</v>
      </c>
      <c r="M7" s="40">
        <f t="shared" si="1"/>
        <v>54</v>
      </c>
      <c r="N7" s="66">
        <f t="shared" si="1"/>
        <v>69</v>
      </c>
      <c r="O7" s="43">
        <f t="shared" si="1"/>
        <v>5</v>
      </c>
      <c r="P7" s="40">
        <f t="shared" si="1"/>
        <v>22</v>
      </c>
      <c r="Q7" s="40">
        <f t="shared" si="1"/>
        <v>39</v>
      </c>
      <c r="R7" s="66">
        <f t="shared" si="1"/>
        <v>75</v>
      </c>
      <c r="S7" s="43">
        <f t="shared" si="1"/>
        <v>5</v>
      </c>
      <c r="T7" s="40">
        <f t="shared" si="1"/>
        <v>37</v>
      </c>
      <c r="U7" s="40">
        <f t="shared" si="1"/>
        <v>50</v>
      </c>
      <c r="V7" s="66">
        <f t="shared" si="1"/>
        <v>63</v>
      </c>
      <c r="W7" s="46">
        <f t="shared" si="2"/>
        <v>15</v>
      </c>
      <c r="X7" s="46">
        <f t="shared" si="3"/>
        <v>48</v>
      </c>
      <c r="Y7" s="46">
        <f t="shared" si="3"/>
        <v>62</v>
      </c>
      <c r="Z7" s="46">
        <f t="shared" si="3"/>
        <v>76</v>
      </c>
      <c r="AA7" s="46">
        <f t="shared" si="3"/>
        <v>15</v>
      </c>
      <c r="AB7" s="46">
        <f t="shared" si="3"/>
        <v>31</v>
      </c>
      <c r="AC7" s="46">
        <f t="shared" si="3"/>
        <v>66</v>
      </c>
      <c r="AD7" s="46">
        <f t="shared" si="3"/>
        <v>6</v>
      </c>
      <c r="AE7" s="46">
        <f t="shared" si="3"/>
        <v>15</v>
      </c>
      <c r="AF7" s="46">
        <f t="shared" si="3"/>
        <v>33</v>
      </c>
      <c r="AG7" s="46">
        <f t="shared" si="3"/>
        <v>51</v>
      </c>
      <c r="AH7" s="46">
        <f t="shared" si="3"/>
        <v>69</v>
      </c>
      <c r="AI7" s="46">
        <f t="shared" si="3"/>
        <v>15</v>
      </c>
      <c r="AJ7" s="46">
        <f t="shared" si="3"/>
        <v>46</v>
      </c>
      <c r="AK7" s="46">
        <f t="shared" si="3"/>
        <v>58</v>
      </c>
      <c r="AL7" s="46">
        <f t="shared" si="3"/>
        <v>70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1"/>
        <v>25</v>
      </c>
      <c r="I8" s="40">
        <f t="shared" si="1"/>
        <v>44</v>
      </c>
      <c r="J8" s="66">
        <f t="shared" si="1"/>
        <v>63</v>
      </c>
      <c r="K8" s="43">
        <f t="shared" si="1"/>
        <v>6</v>
      </c>
      <c r="L8" s="40">
        <f t="shared" si="1"/>
        <v>21</v>
      </c>
      <c r="M8" s="40">
        <f t="shared" si="1"/>
        <v>55</v>
      </c>
      <c r="N8" s="66">
        <f t="shared" si="1"/>
        <v>70</v>
      </c>
      <c r="O8" s="43">
        <f t="shared" si="1"/>
        <v>6</v>
      </c>
      <c r="P8" s="40">
        <f t="shared" si="1"/>
        <v>23</v>
      </c>
      <c r="Q8" s="40">
        <f t="shared" si="1"/>
        <v>40</v>
      </c>
      <c r="R8" s="66">
        <f t="shared" si="1"/>
        <v>76</v>
      </c>
      <c r="S8" s="43">
        <f t="shared" si="1"/>
        <v>6</v>
      </c>
      <c r="T8" s="40">
        <f t="shared" si="1"/>
        <v>38</v>
      </c>
      <c r="U8" s="40">
        <f t="shared" si="1"/>
        <v>51</v>
      </c>
      <c r="V8" s="66">
        <f t="shared" si="1"/>
        <v>64</v>
      </c>
      <c r="W8" s="46">
        <f t="shared" si="2"/>
        <v>16</v>
      </c>
      <c r="X8" s="46">
        <f t="shared" si="3"/>
        <v>30</v>
      </c>
      <c r="Y8" s="46">
        <f t="shared" si="3"/>
        <v>63</v>
      </c>
      <c r="Z8" s="46">
        <f t="shared" si="3"/>
        <v>1</v>
      </c>
      <c r="AA8" s="46">
        <f t="shared" si="3"/>
        <v>16</v>
      </c>
      <c r="AB8" s="46">
        <f t="shared" si="3"/>
        <v>32</v>
      </c>
      <c r="AC8" s="46">
        <f t="shared" si="3"/>
        <v>67</v>
      </c>
      <c r="AD8" s="46">
        <f t="shared" si="3"/>
        <v>7</v>
      </c>
      <c r="AE8" s="46">
        <f t="shared" si="3"/>
        <v>16</v>
      </c>
      <c r="AF8" s="46">
        <f t="shared" si="3"/>
        <v>34</v>
      </c>
      <c r="AG8" s="46">
        <f t="shared" si="3"/>
        <v>52</v>
      </c>
      <c r="AH8" s="46">
        <f t="shared" si="3"/>
        <v>70</v>
      </c>
      <c r="AI8" s="46">
        <f t="shared" si="3"/>
        <v>16</v>
      </c>
      <c r="AJ8" s="46">
        <f t="shared" si="3"/>
        <v>47</v>
      </c>
      <c r="AK8" s="46">
        <f t="shared" si="3"/>
        <v>59</v>
      </c>
      <c r="AL8" s="46">
        <f t="shared" si="3"/>
        <v>71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1"/>
        <v>26</v>
      </c>
      <c r="I9" s="40">
        <f t="shared" si="1"/>
        <v>45</v>
      </c>
      <c r="J9" s="66">
        <f t="shared" si="1"/>
        <v>64</v>
      </c>
      <c r="K9" s="43">
        <f t="shared" si="1"/>
        <v>7</v>
      </c>
      <c r="L9" s="40">
        <f t="shared" si="1"/>
        <v>22</v>
      </c>
      <c r="M9" s="40">
        <f t="shared" si="1"/>
        <v>56</v>
      </c>
      <c r="N9" s="66">
        <f t="shared" si="1"/>
        <v>71</v>
      </c>
      <c r="O9" s="43">
        <f t="shared" si="1"/>
        <v>7</v>
      </c>
      <c r="P9" s="40">
        <f t="shared" si="1"/>
        <v>24</v>
      </c>
      <c r="Q9" s="40">
        <f t="shared" si="1"/>
        <v>41</v>
      </c>
      <c r="R9" s="66">
        <f t="shared" si="1"/>
        <v>58</v>
      </c>
      <c r="S9" s="43">
        <f t="shared" si="1"/>
        <v>7</v>
      </c>
      <c r="T9" s="40">
        <f t="shared" si="1"/>
        <v>20</v>
      </c>
      <c r="U9" s="40">
        <f t="shared" si="1"/>
        <v>52</v>
      </c>
      <c r="V9" s="66">
        <f t="shared" si="1"/>
        <v>65</v>
      </c>
      <c r="W9" s="46">
        <f t="shared" si="2"/>
        <v>17</v>
      </c>
      <c r="X9" s="46">
        <f t="shared" si="3"/>
        <v>31</v>
      </c>
      <c r="Y9" s="46">
        <f t="shared" si="3"/>
        <v>64</v>
      </c>
      <c r="Z9" s="46">
        <f t="shared" si="3"/>
        <v>2</v>
      </c>
      <c r="AA9" s="46">
        <f t="shared" si="3"/>
        <v>17</v>
      </c>
      <c r="AB9" s="46">
        <f t="shared" si="3"/>
        <v>33</v>
      </c>
      <c r="AC9" s="46">
        <f t="shared" si="3"/>
        <v>49</v>
      </c>
      <c r="AD9" s="46">
        <f t="shared" si="3"/>
        <v>8</v>
      </c>
      <c r="AE9" s="46">
        <f t="shared" si="3"/>
        <v>17</v>
      </c>
      <c r="AF9" s="46">
        <f t="shared" si="3"/>
        <v>35</v>
      </c>
      <c r="AG9" s="46">
        <f t="shared" si="3"/>
        <v>53</v>
      </c>
      <c r="AH9" s="46">
        <f t="shared" si="3"/>
        <v>71</v>
      </c>
      <c r="AI9" s="46">
        <f t="shared" si="3"/>
        <v>17</v>
      </c>
      <c r="AJ9" s="46">
        <f t="shared" si="3"/>
        <v>48</v>
      </c>
      <c r="AK9" s="46">
        <f t="shared" si="3"/>
        <v>60</v>
      </c>
      <c r="AL9" s="46">
        <f t="shared" si="3"/>
        <v>72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1"/>
        <v>27</v>
      </c>
      <c r="I10" s="40">
        <f t="shared" si="1"/>
        <v>46</v>
      </c>
      <c r="J10" s="66">
        <f t="shared" si="1"/>
        <v>65</v>
      </c>
      <c r="K10" s="43">
        <f t="shared" si="1"/>
        <v>8</v>
      </c>
      <c r="L10" s="40">
        <f t="shared" si="1"/>
        <v>23</v>
      </c>
      <c r="M10" s="40">
        <f t="shared" si="1"/>
        <v>57</v>
      </c>
      <c r="N10" s="66">
        <f t="shared" si="1"/>
        <v>72</v>
      </c>
      <c r="O10" s="43">
        <f t="shared" si="1"/>
        <v>8</v>
      </c>
      <c r="P10" s="40">
        <f t="shared" si="1"/>
        <v>25</v>
      </c>
      <c r="Q10" s="40">
        <f t="shared" si="1"/>
        <v>42</v>
      </c>
      <c r="R10" s="66">
        <f t="shared" si="1"/>
        <v>59</v>
      </c>
      <c r="S10" s="43">
        <f t="shared" si="1"/>
        <v>8</v>
      </c>
      <c r="T10" s="40">
        <f t="shared" si="1"/>
        <v>21</v>
      </c>
      <c r="U10" s="40">
        <f t="shared" si="1"/>
        <v>53</v>
      </c>
      <c r="V10" s="66">
        <f t="shared" si="1"/>
        <v>66</v>
      </c>
      <c r="W10" s="46">
        <f t="shared" si="2"/>
        <v>18</v>
      </c>
      <c r="X10" s="46">
        <f t="shared" si="3"/>
        <v>32</v>
      </c>
      <c r="Y10" s="46">
        <f t="shared" si="3"/>
        <v>65</v>
      </c>
      <c r="Z10" s="46">
        <f t="shared" si="3"/>
        <v>3</v>
      </c>
      <c r="AA10" s="46">
        <f t="shared" si="3"/>
        <v>18</v>
      </c>
      <c r="AB10" s="46">
        <f t="shared" si="3"/>
        <v>34</v>
      </c>
      <c r="AC10" s="46">
        <f t="shared" si="3"/>
        <v>50</v>
      </c>
      <c r="AD10" s="46">
        <f t="shared" si="3"/>
        <v>9</v>
      </c>
      <c r="AE10" s="46">
        <f t="shared" si="3"/>
        <v>18</v>
      </c>
      <c r="AF10" s="46">
        <f t="shared" si="3"/>
        <v>36</v>
      </c>
      <c r="AG10" s="46">
        <f t="shared" si="3"/>
        <v>54</v>
      </c>
      <c r="AH10" s="46">
        <f t="shared" si="3"/>
        <v>72</v>
      </c>
      <c r="AI10" s="46">
        <f t="shared" si="3"/>
        <v>18</v>
      </c>
      <c r="AJ10" s="46">
        <f t="shared" si="3"/>
        <v>30</v>
      </c>
      <c r="AK10" s="46">
        <f t="shared" si="3"/>
        <v>61</v>
      </c>
      <c r="AL10" s="46">
        <f t="shared" si="3"/>
        <v>73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1"/>
        <v>28</v>
      </c>
      <c r="I11" s="40">
        <f t="shared" si="1"/>
        <v>47</v>
      </c>
      <c r="J11" s="66">
        <f t="shared" si="1"/>
        <v>66</v>
      </c>
      <c r="K11" s="43">
        <f t="shared" si="1"/>
        <v>9</v>
      </c>
      <c r="L11" s="40">
        <f t="shared" si="1"/>
        <v>24</v>
      </c>
      <c r="M11" s="40">
        <f t="shared" si="1"/>
        <v>39</v>
      </c>
      <c r="N11" s="66">
        <f t="shared" si="1"/>
        <v>73</v>
      </c>
      <c r="O11" s="43">
        <f t="shared" si="1"/>
        <v>9</v>
      </c>
      <c r="P11" s="40">
        <f t="shared" si="1"/>
        <v>26</v>
      </c>
      <c r="Q11" s="40">
        <f t="shared" si="1"/>
        <v>43</v>
      </c>
      <c r="R11" s="66">
        <f t="shared" si="1"/>
        <v>60</v>
      </c>
      <c r="S11" s="43">
        <f t="shared" si="1"/>
        <v>9</v>
      </c>
      <c r="T11" s="40">
        <f t="shared" si="1"/>
        <v>22</v>
      </c>
      <c r="U11" s="40">
        <f t="shared" si="1"/>
        <v>54</v>
      </c>
      <c r="V11" s="66">
        <f t="shared" si="1"/>
        <v>67</v>
      </c>
      <c r="W11" s="46">
        <f t="shared" si="2"/>
        <v>19</v>
      </c>
      <c r="X11" s="46">
        <f t="shared" si="3"/>
        <v>33</v>
      </c>
      <c r="Y11" s="46">
        <f t="shared" si="3"/>
        <v>66</v>
      </c>
      <c r="Z11" s="46">
        <f t="shared" si="3"/>
        <v>4</v>
      </c>
      <c r="AA11" s="46">
        <f t="shared" si="3"/>
        <v>19</v>
      </c>
      <c r="AB11" s="46">
        <f t="shared" si="3"/>
        <v>35</v>
      </c>
      <c r="AC11" s="46">
        <f t="shared" si="3"/>
        <v>51</v>
      </c>
      <c r="AD11" s="46">
        <f t="shared" si="3"/>
        <v>10</v>
      </c>
      <c r="AE11" s="46">
        <f t="shared" si="3"/>
        <v>19</v>
      </c>
      <c r="AF11" s="46">
        <f t="shared" si="3"/>
        <v>37</v>
      </c>
      <c r="AG11" s="46">
        <f t="shared" si="3"/>
        <v>55</v>
      </c>
      <c r="AH11" s="46">
        <f t="shared" si="3"/>
        <v>73</v>
      </c>
      <c r="AI11" s="46">
        <f t="shared" si="3"/>
        <v>19</v>
      </c>
      <c r="AJ11" s="46">
        <f t="shared" si="3"/>
        <v>31</v>
      </c>
      <c r="AK11" s="46">
        <f t="shared" si="3"/>
        <v>62</v>
      </c>
      <c r="AL11" s="46">
        <f t="shared" si="3"/>
        <v>74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1"/>
        <v>29</v>
      </c>
      <c r="I12" s="40">
        <f t="shared" si="1"/>
        <v>48</v>
      </c>
      <c r="J12" s="66">
        <f t="shared" si="1"/>
        <v>67</v>
      </c>
      <c r="K12" s="43">
        <f t="shared" si="1"/>
        <v>10</v>
      </c>
      <c r="L12" s="40">
        <f t="shared" si="1"/>
        <v>25</v>
      </c>
      <c r="M12" s="40">
        <f t="shared" si="1"/>
        <v>40</v>
      </c>
      <c r="N12" s="66">
        <f t="shared" si="1"/>
        <v>74</v>
      </c>
      <c r="O12" s="43">
        <f t="shared" si="1"/>
        <v>10</v>
      </c>
      <c r="P12" s="40">
        <f t="shared" si="1"/>
        <v>27</v>
      </c>
      <c r="Q12" s="40">
        <f t="shared" si="1"/>
        <v>44</v>
      </c>
      <c r="R12" s="66">
        <f t="shared" si="1"/>
        <v>61</v>
      </c>
      <c r="S12" s="43">
        <f t="shared" si="1"/>
        <v>10</v>
      </c>
      <c r="T12" s="40">
        <f t="shared" si="1"/>
        <v>23</v>
      </c>
      <c r="U12" s="40">
        <f t="shared" si="1"/>
        <v>55</v>
      </c>
      <c r="V12" s="66">
        <f t="shared" si="1"/>
        <v>68</v>
      </c>
      <c r="W12" s="46">
        <f t="shared" si="2"/>
        <v>20</v>
      </c>
      <c r="X12" s="46">
        <f t="shared" si="3"/>
        <v>34</v>
      </c>
      <c r="Y12" s="46">
        <f t="shared" si="3"/>
        <v>67</v>
      </c>
      <c r="Z12" s="46">
        <f t="shared" si="3"/>
        <v>5</v>
      </c>
      <c r="AA12" s="46">
        <f t="shared" si="3"/>
        <v>20</v>
      </c>
      <c r="AB12" s="46">
        <f t="shared" si="3"/>
        <v>36</v>
      </c>
      <c r="AC12" s="46">
        <f t="shared" si="3"/>
        <v>52</v>
      </c>
      <c r="AD12" s="46">
        <f t="shared" si="3"/>
        <v>68</v>
      </c>
      <c r="AE12" s="46">
        <f t="shared" si="3"/>
        <v>20</v>
      </c>
      <c r="AF12" s="46">
        <f t="shared" si="3"/>
        <v>38</v>
      </c>
      <c r="AG12" s="46">
        <f t="shared" si="3"/>
        <v>56</v>
      </c>
      <c r="AH12" s="46">
        <f t="shared" si="3"/>
        <v>74</v>
      </c>
      <c r="AI12" s="46">
        <f t="shared" si="3"/>
        <v>20</v>
      </c>
      <c r="AJ12" s="46">
        <f t="shared" si="3"/>
        <v>32</v>
      </c>
      <c r="AK12" s="46">
        <f t="shared" si="3"/>
        <v>63</v>
      </c>
      <c r="AL12" s="46">
        <f t="shared" si="3"/>
        <v>75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1"/>
        <v>30</v>
      </c>
      <c r="I13" s="40">
        <f t="shared" si="1"/>
        <v>49</v>
      </c>
      <c r="J13" s="66">
        <f t="shared" si="1"/>
        <v>68</v>
      </c>
      <c r="K13" s="43">
        <f t="shared" si="1"/>
        <v>11</v>
      </c>
      <c r="L13" s="40">
        <f t="shared" si="1"/>
        <v>26</v>
      </c>
      <c r="M13" s="40">
        <f t="shared" si="1"/>
        <v>41</v>
      </c>
      <c r="N13" s="66">
        <f t="shared" si="1"/>
        <v>75</v>
      </c>
      <c r="O13" s="43">
        <f t="shared" si="1"/>
        <v>11</v>
      </c>
      <c r="P13" s="40">
        <f t="shared" si="1"/>
        <v>28</v>
      </c>
      <c r="Q13" s="40">
        <f t="shared" si="1"/>
        <v>45</v>
      </c>
      <c r="R13" s="66">
        <f t="shared" si="1"/>
        <v>62</v>
      </c>
      <c r="S13" s="43">
        <f t="shared" si="1"/>
        <v>11</v>
      </c>
      <c r="T13" s="40">
        <f t="shared" si="1"/>
        <v>24</v>
      </c>
      <c r="U13" s="40">
        <f t="shared" si="1"/>
        <v>56</v>
      </c>
      <c r="V13" s="66">
        <f t="shared" si="1"/>
        <v>69</v>
      </c>
      <c r="W13" s="46">
        <f t="shared" si="2"/>
        <v>21</v>
      </c>
      <c r="X13" s="46">
        <f t="shared" si="3"/>
        <v>35</v>
      </c>
      <c r="Y13" s="46">
        <f t="shared" si="3"/>
        <v>49</v>
      </c>
      <c r="Z13" s="46">
        <f t="shared" si="3"/>
        <v>6</v>
      </c>
      <c r="AA13" s="46">
        <f t="shared" si="3"/>
        <v>21</v>
      </c>
      <c r="AB13" s="46">
        <f t="shared" si="3"/>
        <v>37</v>
      </c>
      <c r="AC13" s="46">
        <f t="shared" si="3"/>
        <v>53</v>
      </c>
      <c r="AD13" s="46">
        <f t="shared" si="3"/>
        <v>69</v>
      </c>
      <c r="AE13" s="46">
        <f t="shared" si="3"/>
        <v>21</v>
      </c>
      <c r="AF13" s="46">
        <f t="shared" si="3"/>
        <v>39</v>
      </c>
      <c r="AG13" s="46">
        <f t="shared" si="3"/>
        <v>57</v>
      </c>
      <c r="AH13" s="46">
        <f t="shared" si="3"/>
        <v>75</v>
      </c>
      <c r="AI13" s="46">
        <f t="shared" si="3"/>
        <v>21</v>
      </c>
      <c r="AJ13" s="46">
        <f t="shared" si="3"/>
        <v>33</v>
      </c>
      <c r="AK13" s="46">
        <f t="shared" si="3"/>
        <v>64</v>
      </c>
      <c r="AL13" s="46">
        <f t="shared" si="3"/>
        <v>76</v>
      </c>
    </row>
    <row r="14" spans="1:38" x14ac:dyDescent="0.35">
      <c r="A14" s="18">
        <v>11</v>
      </c>
      <c r="B14" s="19" t="s">
        <v>18</v>
      </c>
      <c r="D14">
        <f>$B$2/$C$2-$E$2/2+1</f>
        <v>15</v>
      </c>
      <c r="E14">
        <f>$B$2/$C$2+$E$2/2</f>
        <v>24</v>
      </c>
      <c r="G14" s="43">
        <f t="shared" si="0"/>
        <v>12</v>
      </c>
      <c r="H14" s="40">
        <f t="shared" si="1"/>
        <v>31</v>
      </c>
      <c r="I14" s="40">
        <f t="shared" si="1"/>
        <v>50</v>
      </c>
      <c r="J14" s="66">
        <f t="shared" si="1"/>
        <v>69</v>
      </c>
      <c r="K14" s="43">
        <f t="shared" si="1"/>
        <v>12</v>
      </c>
      <c r="L14" s="40">
        <f t="shared" si="1"/>
        <v>27</v>
      </c>
      <c r="M14" s="40">
        <f t="shared" si="1"/>
        <v>42</v>
      </c>
      <c r="N14" s="66">
        <f t="shared" si="1"/>
        <v>76</v>
      </c>
      <c r="O14" s="43">
        <f t="shared" si="1"/>
        <v>12</v>
      </c>
      <c r="P14" s="40">
        <f t="shared" si="1"/>
        <v>29</v>
      </c>
      <c r="Q14" s="40">
        <f t="shared" si="1"/>
        <v>46</v>
      </c>
      <c r="R14" s="66">
        <f t="shared" si="1"/>
        <v>63</v>
      </c>
      <c r="S14" s="43">
        <f t="shared" si="1"/>
        <v>12</v>
      </c>
      <c r="T14" s="40">
        <f t="shared" si="1"/>
        <v>25</v>
      </c>
      <c r="U14" s="40">
        <f t="shared" si="1"/>
        <v>57</v>
      </c>
      <c r="V14" s="66">
        <f t="shared" si="1"/>
        <v>70</v>
      </c>
      <c r="W14" s="46">
        <f t="shared" si="2"/>
        <v>22</v>
      </c>
      <c r="X14" s="46">
        <f t="shared" si="3"/>
        <v>36</v>
      </c>
      <c r="Y14" s="46">
        <f t="shared" si="3"/>
        <v>50</v>
      </c>
      <c r="Z14" s="46">
        <f t="shared" si="3"/>
        <v>7</v>
      </c>
      <c r="AA14" s="46">
        <f t="shared" si="3"/>
        <v>22</v>
      </c>
      <c r="AB14" s="46">
        <f t="shared" si="3"/>
        <v>38</v>
      </c>
      <c r="AC14" s="46">
        <f t="shared" si="3"/>
        <v>54</v>
      </c>
      <c r="AD14" s="46">
        <f t="shared" si="3"/>
        <v>70</v>
      </c>
      <c r="AE14" s="46">
        <f t="shared" si="3"/>
        <v>22</v>
      </c>
      <c r="AF14" s="46">
        <f t="shared" si="3"/>
        <v>40</v>
      </c>
      <c r="AG14" s="46">
        <f t="shared" si="3"/>
        <v>58</v>
      </c>
      <c r="AH14" s="46">
        <f t="shared" si="3"/>
        <v>76</v>
      </c>
      <c r="AI14" s="46">
        <f t="shared" si="3"/>
        <v>22</v>
      </c>
      <c r="AJ14" s="46">
        <f t="shared" si="3"/>
        <v>34</v>
      </c>
      <c r="AK14" s="46">
        <f t="shared" si="3"/>
        <v>65</v>
      </c>
      <c r="AL14" s="46">
        <f t="shared" si="3"/>
        <v>1</v>
      </c>
    </row>
    <row r="15" spans="1:38" x14ac:dyDescent="0.35">
      <c r="A15" s="18">
        <v>12</v>
      </c>
      <c r="B15" s="19" t="s">
        <v>18</v>
      </c>
      <c r="D15">
        <f>2*$B$2/$C$2-$E$2/2+1</f>
        <v>34</v>
      </c>
      <c r="E15">
        <f>2*$B$2/$C$2+$E$2/2</f>
        <v>43</v>
      </c>
      <c r="G15" s="43">
        <f t="shared" si="0"/>
        <v>13</v>
      </c>
      <c r="H15" s="40">
        <f t="shared" si="1"/>
        <v>32</v>
      </c>
      <c r="I15" s="40">
        <f t="shared" si="1"/>
        <v>51</v>
      </c>
      <c r="J15" s="66">
        <f t="shared" si="1"/>
        <v>70</v>
      </c>
      <c r="K15" s="43">
        <f t="shared" si="1"/>
        <v>13</v>
      </c>
      <c r="L15" s="40">
        <f t="shared" si="1"/>
        <v>28</v>
      </c>
      <c r="M15" s="40">
        <f t="shared" si="1"/>
        <v>43</v>
      </c>
      <c r="N15" s="66">
        <f t="shared" si="1"/>
        <v>58</v>
      </c>
      <c r="O15" s="43">
        <f t="shared" si="1"/>
        <v>13</v>
      </c>
      <c r="P15" s="40">
        <f t="shared" si="1"/>
        <v>30</v>
      </c>
      <c r="Q15" s="40">
        <f t="shared" si="1"/>
        <v>47</v>
      </c>
      <c r="R15" s="66">
        <f t="shared" si="1"/>
        <v>64</v>
      </c>
      <c r="S15" s="43">
        <f t="shared" si="1"/>
        <v>13</v>
      </c>
      <c r="T15" s="40">
        <f t="shared" si="1"/>
        <v>26</v>
      </c>
      <c r="U15" s="40">
        <f t="shared" si="1"/>
        <v>39</v>
      </c>
      <c r="V15" s="66">
        <f t="shared" si="1"/>
        <v>71</v>
      </c>
      <c r="W15" s="46">
        <f t="shared" si="2"/>
        <v>23</v>
      </c>
      <c r="X15" s="46">
        <f t="shared" si="3"/>
        <v>37</v>
      </c>
      <c r="Y15" s="46">
        <f t="shared" si="3"/>
        <v>51</v>
      </c>
      <c r="Z15" s="46">
        <f t="shared" si="3"/>
        <v>8</v>
      </c>
      <c r="AA15" s="46">
        <f t="shared" si="3"/>
        <v>23</v>
      </c>
      <c r="AB15" s="46">
        <f t="shared" si="3"/>
        <v>39</v>
      </c>
      <c r="AC15" s="46">
        <f t="shared" si="3"/>
        <v>55</v>
      </c>
      <c r="AD15" s="46">
        <f t="shared" si="3"/>
        <v>71</v>
      </c>
      <c r="AE15" s="46">
        <f t="shared" si="3"/>
        <v>23</v>
      </c>
      <c r="AF15" s="46">
        <f t="shared" si="3"/>
        <v>41</v>
      </c>
      <c r="AG15" s="46">
        <f t="shared" si="3"/>
        <v>59</v>
      </c>
      <c r="AH15" s="46">
        <f t="shared" si="3"/>
        <v>1</v>
      </c>
      <c r="AI15" s="46">
        <f t="shared" si="3"/>
        <v>23</v>
      </c>
      <c r="AJ15" s="46">
        <f t="shared" si="3"/>
        <v>35</v>
      </c>
      <c r="AK15" s="46">
        <f t="shared" si="3"/>
        <v>66</v>
      </c>
      <c r="AL15" s="46">
        <f t="shared" si="3"/>
        <v>2</v>
      </c>
    </row>
    <row r="16" spans="1:38" x14ac:dyDescent="0.35">
      <c r="A16" s="18">
        <v>13</v>
      </c>
      <c r="B16" s="19" t="s">
        <v>18</v>
      </c>
      <c r="D16">
        <f>3*$B$2/$C$2-$E$2/2+1</f>
        <v>53</v>
      </c>
      <c r="E16">
        <f>3*$B$2/$C$2+$E$2/2</f>
        <v>62</v>
      </c>
      <c r="G16" s="43">
        <f t="shared" si="0"/>
        <v>14</v>
      </c>
      <c r="H16" s="40">
        <f t="shared" si="1"/>
        <v>33</v>
      </c>
      <c r="I16" s="40">
        <f t="shared" si="1"/>
        <v>52</v>
      </c>
      <c r="J16" s="66">
        <f t="shared" si="1"/>
        <v>71</v>
      </c>
      <c r="K16" s="43">
        <f t="shared" si="1"/>
        <v>14</v>
      </c>
      <c r="L16" s="40">
        <f t="shared" si="1"/>
        <v>29</v>
      </c>
      <c r="M16" s="40">
        <f t="shared" si="1"/>
        <v>44</v>
      </c>
      <c r="N16" s="66">
        <f t="shared" si="1"/>
        <v>59</v>
      </c>
      <c r="O16" s="43">
        <f t="shared" si="1"/>
        <v>14</v>
      </c>
      <c r="P16" s="40">
        <f t="shared" si="1"/>
        <v>31</v>
      </c>
      <c r="Q16" s="40">
        <f t="shared" si="1"/>
        <v>48</v>
      </c>
      <c r="R16" s="66">
        <f t="shared" si="1"/>
        <v>65</v>
      </c>
      <c r="S16" s="43">
        <f t="shared" si="1"/>
        <v>14</v>
      </c>
      <c r="T16" s="40">
        <f t="shared" si="1"/>
        <v>27</v>
      </c>
      <c r="U16" s="40">
        <f t="shared" si="1"/>
        <v>40</v>
      </c>
      <c r="V16" s="66">
        <f t="shared" si="1"/>
        <v>72</v>
      </c>
      <c r="W16" s="46">
        <f t="shared" si="2"/>
        <v>24</v>
      </c>
      <c r="X16" s="46">
        <f t="shared" si="3"/>
        <v>38</v>
      </c>
      <c r="Y16" s="46">
        <f t="shared" si="3"/>
        <v>52</v>
      </c>
      <c r="Z16" s="46">
        <f t="shared" si="3"/>
        <v>9</v>
      </c>
      <c r="AA16" s="46">
        <f t="shared" si="3"/>
        <v>24</v>
      </c>
      <c r="AB16" s="46">
        <f t="shared" si="3"/>
        <v>40</v>
      </c>
      <c r="AC16" s="46">
        <f t="shared" si="3"/>
        <v>56</v>
      </c>
      <c r="AD16" s="46">
        <f t="shared" si="3"/>
        <v>72</v>
      </c>
      <c r="AE16" s="46">
        <f t="shared" si="3"/>
        <v>24</v>
      </c>
      <c r="AF16" s="46">
        <f t="shared" si="3"/>
        <v>42</v>
      </c>
      <c r="AG16" s="46">
        <f t="shared" si="3"/>
        <v>60</v>
      </c>
      <c r="AH16" s="46">
        <f t="shared" si="3"/>
        <v>2</v>
      </c>
      <c r="AI16" s="46">
        <f t="shared" si="3"/>
        <v>24</v>
      </c>
      <c r="AJ16" s="46">
        <f t="shared" si="3"/>
        <v>36</v>
      </c>
      <c r="AK16" s="46">
        <f t="shared" si="3"/>
        <v>67</v>
      </c>
      <c r="AL16" s="46">
        <f t="shared" si="3"/>
        <v>3</v>
      </c>
    </row>
    <row r="17" spans="1:38" x14ac:dyDescent="0.35">
      <c r="A17" s="3">
        <v>14</v>
      </c>
      <c r="B17" s="22" t="s">
        <v>19</v>
      </c>
      <c r="D17">
        <f>$B$2-2</f>
        <v>74</v>
      </c>
      <c r="E17">
        <f>$B$2</f>
        <v>76</v>
      </c>
      <c r="G17" s="43">
        <f t="shared" si="0"/>
        <v>15</v>
      </c>
      <c r="H17" s="40">
        <f t="shared" si="1"/>
        <v>34</v>
      </c>
      <c r="I17" s="40">
        <f t="shared" si="1"/>
        <v>53</v>
      </c>
      <c r="J17" s="66">
        <f t="shared" si="1"/>
        <v>72</v>
      </c>
      <c r="K17" s="43">
        <f t="shared" si="1"/>
        <v>15</v>
      </c>
      <c r="L17" s="40">
        <f t="shared" si="1"/>
        <v>30</v>
      </c>
      <c r="M17" s="40">
        <f t="shared" si="1"/>
        <v>45</v>
      </c>
      <c r="N17" s="66">
        <f t="shared" si="1"/>
        <v>60</v>
      </c>
      <c r="O17" s="43">
        <f t="shared" si="1"/>
        <v>15</v>
      </c>
      <c r="P17" s="40">
        <f t="shared" si="1"/>
        <v>32</v>
      </c>
      <c r="Q17" s="40">
        <f t="shared" si="1"/>
        <v>49</v>
      </c>
      <c r="R17" s="66">
        <f t="shared" si="1"/>
        <v>66</v>
      </c>
      <c r="S17" s="43">
        <f t="shared" si="1"/>
        <v>15</v>
      </c>
      <c r="T17" s="40">
        <f t="shared" si="1"/>
        <v>28</v>
      </c>
      <c r="U17" s="40">
        <f t="shared" si="1"/>
        <v>41</v>
      </c>
      <c r="V17" s="66">
        <f t="shared" si="1"/>
        <v>73</v>
      </c>
      <c r="W17" s="46">
        <f t="shared" si="2"/>
        <v>25</v>
      </c>
      <c r="X17" s="46">
        <f t="shared" si="3"/>
        <v>39</v>
      </c>
      <c r="Y17" s="46">
        <f t="shared" si="3"/>
        <v>53</v>
      </c>
      <c r="Z17" s="46">
        <f t="shared" si="3"/>
        <v>10</v>
      </c>
      <c r="AA17" s="46">
        <f t="shared" si="3"/>
        <v>25</v>
      </c>
      <c r="AB17" s="46">
        <f t="shared" si="3"/>
        <v>41</v>
      </c>
      <c r="AC17" s="46">
        <f t="shared" si="3"/>
        <v>57</v>
      </c>
      <c r="AD17" s="46">
        <f t="shared" si="3"/>
        <v>73</v>
      </c>
      <c r="AE17" s="46">
        <f t="shared" si="3"/>
        <v>25</v>
      </c>
      <c r="AF17" s="46">
        <f t="shared" si="3"/>
        <v>43</v>
      </c>
      <c r="AG17" s="46">
        <f t="shared" si="3"/>
        <v>61</v>
      </c>
      <c r="AH17" s="46">
        <f t="shared" si="3"/>
        <v>3</v>
      </c>
      <c r="AI17" s="46">
        <f t="shared" si="3"/>
        <v>25</v>
      </c>
      <c r="AJ17" s="46">
        <f t="shared" si="3"/>
        <v>37</v>
      </c>
      <c r="AK17" s="46">
        <f t="shared" si="3"/>
        <v>49</v>
      </c>
      <c r="AL17" s="46">
        <f t="shared" si="3"/>
        <v>4</v>
      </c>
    </row>
    <row r="18" spans="1:38" x14ac:dyDescent="0.35">
      <c r="A18" s="3">
        <v>15</v>
      </c>
      <c r="B18" s="22" t="s">
        <v>19</v>
      </c>
      <c r="G18" s="43">
        <f t="shared" si="0"/>
        <v>16</v>
      </c>
      <c r="H18" s="40">
        <f t="shared" si="1"/>
        <v>35</v>
      </c>
      <c r="I18" s="40">
        <f t="shared" si="1"/>
        <v>54</v>
      </c>
      <c r="J18" s="66">
        <f t="shared" si="1"/>
        <v>73</v>
      </c>
      <c r="K18" s="43">
        <f t="shared" si="1"/>
        <v>16</v>
      </c>
      <c r="L18" s="40">
        <f t="shared" si="1"/>
        <v>31</v>
      </c>
      <c r="M18" s="40">
        <f t="shared" si="1"/>
        <v>46</v>
      </c>
      <c r="N18" s="66">
        <f t="shared" si="1"/>
        <v>61</v>
      </c>
      <c r="O18" s="43">
        <f t="shared" si="1"/>
        <v>16</v>
      </c>
      <c r="P18" s="40">
        <f t="shared" si="1"/>
        <v>33</v>
      </c>
      <c r="Q18" s="40">
        <f t="shared" si="1"/>
        <v>50</v>
      </c>
      <c r="R18" s="66">
        <f t="shared" si="1"/>
        <v>67</v>
      </c>
      <c r="S18" s="43">
        <f t="shared" si="1"/>
        <v>16</v>
      </c>
      <c r="T18" s="40">
        <f t="shared" si="1"/>
        <v>29</v>
      </c>
      <c r="U18" s="40">
        <f t="shared" si="1"/>
        <v>42</v>
      </c>
      <c r="V18" s="66">
        <f t="shared" si="1"/>
        <v>74</v>
      </c>
      <c r="W18" s="46">
        <f t="shared" si="2"/>
        <v>26</v>
      </c>
      <c r="X18" s="46">
        <f t="shared" si="3"/>
        <v>40</v>
      </c>
      <c r="Y18" s="46">
        <f t="shared" si="3"/>
        <v>54</v>
      </c>
      <c r="Z18" s="46">
        <f t="shared" si="3"/>
        <v>68</v>
      </c>
      <c r="AA18" s="46">
        <f t="shared" si="3"/>
        <v>26</v>
      </c>
      <c r="AB18" s="46">
        <f t="shared" si="3"/>
        <v>42</v>
      </c>
      <c r="AC18" s="46">
        <f t="shared" si="3"/>
        <v>58</v>
      </c>
      <c r="AD18" s="46">
        <f t="shared" si="3"/>
        <v>74</v>
      </c>
      <c r="AE18" s="46">
        <f t="shared" si="3"/>
        <v>26</v>
      </c>
      <c r="AF18" s="46">
        <f t="shared" si="3"/>
        <v>44</v>
      </c>
      <c r="AG18" s="46">
        <f t="shared" si="3"/>
        <v>62</v>
      </c>
      <c r="AH18" s="46">
        <f t="shared" si="3"/>
        <v>4</v>
      </c>
      <c r="AI18" s="46">
        <f t="shared" si="3"/>
        <v>26</v>
      </c>
      <c r="AJ18" s="46">
        <f t="shared" si="3"/>
        <v>38</v>
      </c>
      <c r="AK18" s="46">
        <f t="shared" si="3"/>
        <v>50</v>
      </c>
      <c r="AL18" s="46">
        <f t="shared" si="3"/>
        <v>5</v>
      </c>
    </row>
    <row r="19" spans="1:38" x14ac:dyDescent="0.35">
      <c r="A19" s="3">
        <v>16</v>
      </c>
      <c r="B19" s="22" t="s">
        <v>19</v>
      </c>
      <c r="D19">
        <f>$B$2/$C$2-$E$2/2+$B$2/8+1</f>
        <v>24.5</v>
      </c>
      <c r="E19">
        <f>ROUND($B$2/$C$2+$E$2/2+$B$2/8,0)</f>
        <v>34</v>
      </c>
      <c r="G19" s="43">
        <f t="shared" si="0"/>
        <v>17</v>
      </c>
      <c r="H19" s="40">
        <f t="shared" ref="H19:V21" si="4">MOD($A19-H$1*H$2,$B$2/4)+H$2*$B$2/4+1</f>
        <v>36</v>
      </c>
      <c r="I19" s="40">
        <f t="shared" si="4"/>
        <v>55</v>
      </c>
      <c r="J19" s="66">
        <f t="shared" si="4"/>
        <v>74</v>
      </c>
      <c r="K19" s="43">
        <f t="shared" si="4"/>
        <v>17</v>
      </c>
      <c r="L19" s="40">
        <f t="shared" si="4"/>
        <v>32</v>
      </c>
      <c r="M19" s="40">
        <f t="shared" si="4"/>
        <v>47</v>
      </c>
      <c r="N19" s="66">
        <f t="shared" si="4"/>
        <v>62</v>
      </c>
      <c r="O19" s="43">
        <f t="shared" si="4"/>
        <v>17</v>
      </c>
      <c r="P19" s="40">
        <f t="shared" si="4"/>
        <v>34</v>
      </c>
      <c r="Q19" s="40">
        <f t="shared" si="4"/>
        <v>51</v>
      </c>
      <c r="R19" s="66">
        <f t="shared" si="4"/>
        <v>68</v>
      </c>
      <c r="S19" s="43">
        <f t="shared" si="4"/>
        <v>17</v>
      </c>
      <c r="T19" s="40">
        <f t="shared" si="4"/>
        <v>30</v>
      </c>
      <c r="U19" s="40">
        <f t="shared" si="4"/>
        <v>43</v>
      </c>
      <c r="V19" s="66">
        <f t="shared" si="4"/>
        <v>75</v>
      </c>
      <c r="W19" s="46">
        <f t="shared" si="2"/>
        <v>27</v>
      </c>
      <c r="X19" s="46">
        <f t="shared" ref="X19:AL21" si="5">MOD(MOD($A19-X$1*X$2,$B$2/4)+X$2*$B$2/4+ROUND($B$2/8,0),$B$2)+1</f>
        <v>41</v>
      </c>
      <c r="Y19" s="46">
        <f t="shared" si="5"/>
        <v>55</v>
      </c>
      <c r="Z19" s="46">
        <f t="shared" si="5"/>
        <v>69</v>
      </c>
      <c r="AA19" s="46">
        <f t="shared" si="5"/>
        <v>27</v>
      </c>
      <c r="AB19" s="46">
        <f t="shared" si="5"/>
        <v>43</v>
      </c>
      <c r="AC19" s="46">
        <f t="shared" si="5"/>
        <v>59</v>
      </c>
      <c r="AD19" s="46">
        <f t="shared" si="5"/>
        <v>75</v>
      </c>
      <c r="AE19" s="46">
        <f t="shared" si="5"/>
        <v>27</v>
      </c>
      <c r="AF19" s="46">
        <f t="shared" si="5"/>
        <v>45</v>
      </c>
      <c r="AG19" s="46">
        <f t="shared" si="5"/>
        <v>63</v>
      </c>
      <c r="AH19" s="46">
        <f t="shared" si="5"/>
        <v>5</v>
      </c>
      <c r="AI19" s="46">
        <f t="shared" si="5"/>
        <v>27</v>
      </c>
      <c r="AJ19" s="46">
        <f t="shared" si="5"/>
        <v>39</v>
      </c>
      <c r="AK19" s="46">
        <f t="shared" si="5"/>
        <v>51</v>
      </c>
      <c r="AL19" s="46">
        <f t="shared" si="5"/>
        <v>6</v>
      </c>
    </row>
    <row r="20" spans="1:38" x14ac:dyDescent="0.35">
      <c r="A20" s="3">
        <v>17</v>
      </c>
      <c r="B20" s="22" t="s">
        <v>19</v>
      </c>
      <c r="D20">
        <f>2*$B$2/$C$2-$E$2/2+$B$2/8+1</f>
        <v>43.5</v>
      </c>
      <c r="E20">
        <f>ROUND(2*$B$2/$C$2+$E$2/2+$B$2/8,0)</f>
        <v>53</v>
      </c>
      <c r="G20" s="43">
        <f t="shared" si="0"/>
        <v>18</v>
      </c>
      <c r="H20" s="40">
        <f t="shared" si="4"/>
        <v>37</v>
      </c>
      <c r="I20" s="40">
        <f t="shared" si="4"/>
        <v>56</v>
      </c>
      <c r="J20" s="66">
        <f t="shared" si="4"/>
        <v>75</v>
      </c>
      <c r="K20" s="43">
        <f t="shared" si="4"/>
        <v>18</v>
      </c>
      <c r="L20" s="40">
        <f t="shared" si="4"/>
        <v>33</v>
      </c>
      <c r="M20" s="40">
        <f t="shared" si="4"/>
        <v>48</v>
      </c>
      <c r="N20" s="66">
        <f t="shared" si="4"/>
        <v>63</v>
      </c>
      <c r="O20" s="43">
        <f t="shared" si="4"/>
        <v>18</v>
      </c>
      <c r="P20" s="40">
        <f t="shared" si="4"/>
        <v>35</v>
      </c>
      <c r="Q20" s="40">
        <f t="shared" si="4"/>
        <v>52</v>
      </c>
      <c r="R20" s="66">
        <f t="shared" si="4"/>
        <v>69</v>
      </c>
      <c r="S20" s="43">
        <f t="shared" si="4"/>
        <v>18</v>
      </c>
      <c r="T20" s="40">
        <f t="shared" si="4"/>
        <v>31</v>
      </c>
      <c r="U20" s="40">
        <f t="shared" si="4"/>
        <v>44</v>
      </c>
      <c r="V20" s="66">
        <f t="shared" si="4"/>
        <v>76</v>
      </c>
      <c r="W20" s="46">
        <f t="shared" si="2"/>
        <v>28</v>
      </c>
      <c r="X20" s="46">
        <f t="shared" si="5"/>
        <v>42</v>
      </c>
      <c r="Y20" s="46">
        <f t="shared" si="5"/>
        <v>56</v>
      </c>
      <c r="Z20" s="46">
        <f t="shared" si="5"/>
        <v>70</v>
      </c>
      <c r="AA20" s="46">
        <f t="shared" si="5"/>
        <v>28</v>
      </c>
      <c r="AB20" s="46">
        <f t="shared" si="5"/>
        <v>44</v>
      </c>
      <c r="AC20" s="46">
        <f t="shared" si="5"/>
        <v>60</v>
      </c>
      <c r="AD20" s="46">
        <f t="shared" si="5"/>
        <v>76</v>
      </c>
      <c r="AE20" s="46">
        <f t="shared" si="5"/>
        <v>28</v>
      </c>
      <c r="AF20" s="46">
        <f t="shared" si="5"/>
        <v>46</v>
      </c>
      <c r="AG20" s="46">
        <f t="shared" si="5"/>
        <v>64</v>
      </c>
      <c r="AH20" s="46">
        <f t="shared" si="5"/>
        <v>6</v>
      </c>
      <c r="AI20" s="46">
        <f t="shared" si="5"/>
        <v>28</v>
      </c>
      <c r="AJ20" s="46">
        <f t="shared" si="5"/>
        <v>40</v>
      </c>
      <c r="AK20" s="46">
        <f t="shared" si="5"/>
        <v>52</v>
      </c>
      <c r="AL20" s="46">
        <f t="shared" si="5"/>
        <v>7</v>
      </c>
    </row>
    <row r="21" spans="1:38" x14ac:dyDescent="0.35">
      <c r="A21" s="3">
        <v>18</v>
      </c>
      <c r="B21" s="22" t="s">
        <v>19</v>
      </c>
      <c r="D21">
        <f>3*$B$2/$C$2-$E$2/2+$B$2/8+1</f>
        <v>62.5</v>
      </c>
      <c r="E21">
        <f>ROUND(3*$B$2/$C$2+$E$2/2+$B$2/8,0)</f>
        <v>72</v>
      </c>
      <c r="G21" s="43">
        <f t="shared" si="0"/>
        <v>19</v>
      </c>
      <c r="H21" s="40">
        <f t="shared" si="4"/>
        <v>38</v>
      </c>
      <c r="I21" s="40">
        <f t="shared" si="4"/>
        <v>57</v>
      </c>
      <c r="J21" s="66">
        <f t="shared" si="4"/>
        <v>76</v>
      </c>
      <c r="K21" s="43">
        <f t="shared" si="4"/>
        <v>19</v>
      </c>
      <c r="L21" s="40">
        <f t="shared" si="4"/>
        <v>34</v>
      </c>
      <c r="M21" s="40">
        <f t="shared" si="4"/>
        <v>49</v>
      </c>
      <c r="N21" s="66">
        <f t="shared" si="4"/>
        <v>64</v>
      </c>
      <c r="O21" s="43">
        <f t="shared" si="4"/>
        <v>19</v>
      </c>
      <c r="P21" s="40">
        <f t="shared" si="4"/>
        <v>36</v>
      </c>
      <c r="Q21" s="40">
        <f t="shared" si="4"/>
        <v>53</v>
      </c>
      <c r="R21" s="66">
        <f t="shared" si="4"/>
        <v>70</v>
      </c>
      <c r="S21" s="43">
        <f t="shared" si="4"/>
        <v>19</v>
      </c>
      <c r="T21" s="40">
        <f t="shared" si="4"/>
        <v>32</v>
      </c>
      <c r="U21" s="40">
        <f t="shared" si="4"/>
        <v>45</v>
      </c>
      <c r="V21" s="66">
        <f t="shared" si="4"/>
        <v>58</v>
      </c>
      <c r="W21" s="46">
        <f t="shared" si="2"/>
        <v>29</v>
      </c>
      <c r="X21" s="46">
        <f t="shared" si="5"/>
        <v>43</v>
      </c>
      <c r="Y21" s="46">
        <f t="shared" si="5"/>
        <v>57</v>
      </c>
      <c r="Z21" s="46">
        <f t="shared" si="5"/>
        <v>71</v>
      </c>
      <c r="AA21" s="46">
        <f t="shared" si="5"/>
        <v>29</v>
      </c>
      <c r="AB21" s="46">
        <f t="shared" si="5"/>
        <v>45</v>
      </c>
      <c r="AC21" s="46">
        <f t="shared" si="5"/>
        <v>61</v>
      </c>
      <c r="AD21" s="46">
        <f t="shared" si="5"/>
        <v>1</v>
      </c>
      <c r="AE21" s="46">
        <f t="shared" si="5"/>
        <v>29</v>
      </c>
      <c r="AF21" s="46">
        <f t="shared" si="5"/>
        <v>47</v>
      </c>
      <c r="AG21" s="46">
        <f t="shared" si="5"/>
        <v>65</v>
      </c>
      <c r="AH21" s="46">
        <f t="shared" si="5"/>
        <v>7</v>
      </c>
      <c r="AI21" s="46">
        <f t="shared" si="5"/>
        <v>29</v>
      </c>
      <c r="AJ21" s="46">
        <f t="shared" si="5"/>
        <v>41</v>
      </c>
      <c r="AK21" s="46">
        <f t="shared" si="5"/>
        <v>53</v>
      </c>
      <c r="AL21" s="46">
        <f t="shared" si="5"/>
        <v>8</v>
      </c>
    </row>
    <row r="22" spans="1:38" ht="15" thickBot="1" x14ac:dyDescent="0.4">
      <c r="A22" s="23">
        <v>19</v>
      </c>
      <c r="B22" s="24" t="s">
        <v>20</v>
      </c>
      <c r="D22">
        <f>$B$2-2</f>
        <v>74</v>
      </c>
      <c r="E22">
        <f>$B$2</f>
        <v>76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5.5</v>
      </c>
      <c r="E23">
        <f>ROUND($B$2/$C$2+$E$2/2-$B$2/8,0)</f>
        <v>15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6">SUM(F28:F40)</f>
        <v>45</v>
      </c>
      <c r="G41">
        <f t="shared" si="6"/>
        <v>79</v>
      </c>
      <c r="H41">
        <f t="shared" si="6"/>
        <v>70</v>
      </c>
      <c r="I41">
        <f t="shared" si="6"/>
        <v>59</v>
      </c>
      <c r="J41">
        <f t="shared" si="6"/>
        <v>51</v>
      </c>
      <c r="K41">
        <f t="shared" si="6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227" priority="6" operator="between">
      <formula>$D$17</formula>
      <formula>$E$17</formula>
    </cfRule>
    <cfRule type="cellIs" dxfId="226" priority="7" operator="between">
      <formula>$D$16</formula>
      <formula>$E$16</formula>
    </cfRule>
    <cfRule type="cellIs" dxfId="225" priority="8" operator="between">
      <formula>$D$15</formula>
      <formula>$E$15</formula>
    </cfRule>
    <cfRule type="cellIs" dxfId="224" priority="9" operator="between">
      <formula>$D$14</formula>
      <formula>$E$14</formula>
    </cfRule>
  </conditionalFormatting>
  <conditionalFormatting sqref="W3:AL22">
    <cfRule type="cellIs" dxfId="223" priority="1" operator="between">
      <formula>$D$23</formula>
      <formula>$E$23</formula>
    </cfRule>
    <cfRule type="cellIs" dxfId="222" priority="2" operator="between">
      <formula>$D$22</formula>
      <formula>$E$22</formula>
    </cfRule>
    <cfRule type="cellIs" dxfId="221" priority="3" operator="between">
      <formula>$D$21</formula>
      <formula>$E$21</formula>
    </cfRule>
    <cfRule type="cellIs" dxfId="220" priority="4" operator="between">
      <formula>$D$20</formula>
      <formula>$E$20</formula>
    </cfRule>
    <cfRule type="cellIs" dxfId="219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ist8">
    <pageSetUpPr fitToPage="1"/>
  </sheetPr>
  <dimension ref="A1:P43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19</v>
      </c>
      <c r="C4" s="58">
        <v>37</v>
      </c>
      <c r="D4" s="59">
        <v>55</v>
      </c>
      <c r="E4" s="57">
        <v>1</v>
      </c>
      <c r="F4" s="58">
        <v>35</v>
      </c>
      <c r="G4" s="86">
        <v>51</v>
      </c>
      <c r="H4" s="59">
        <v>67</v>
      </c>
      <c r="I4" s="57">
        <v>1</v>
      </c>
      <c r="J4" s="58">
        <v>33</v>
      </c>
      <c r="K4" s="58">
        <v>47</v>
      </c>
      <c r="L4" s="90">
        <v>61</v>
      </c>
      <c r="M4" s="57">
        <v>1</v>
      </c>
      <c r="N4" s="86">
        <v>31</v>
      </c>
      <c r="O4" s="58">
        <v>43</v>
      </c>
      <c r="P4" s="59">
        <v>55</v>
      </c>
    </row>
    <row r="5" spans="1:16" x14ac:dyDescent="0.35">
      <c r="A5" s="82">
        <v>2</v>
      </c>
      <c r="B5" s="55">
        <v>20</v>
      </c>
      <c r="C5" s="55">
        <v>38</v>
      </c>
      <c r="D5" s="56">
        <v>56</v>
      </c>
      <c r="E5" s="75">
        <v>2</v>
      </c>
      <c r="F5" s="76">
        <v>36</v>
      </c>
      <c r="G5" s="87">
        <v>52</v>
      </c>
      <c r="H5" s="77">
        <v>68</v>
      </c>
      <c r="I5" s="49">
        <v>2</v>
      </c>
      <c r="J5" s="50">
        <v>34</v>
      </c>
      <c r="K5" s="50">
        <v>48</v>
      </c>
      <c r="L5" s="91">
        <v>62</v>
      </c>
      <c r="M5" s="75">
        <v>2</v>
      </c>
      <c r="N5" s="87">
        <v>32</v>
      </c>
      <c r="O5" s="76">
        <v>44</v>
      </c>
      <c r="P5" s="77">
        <v>56</v>
      </c>
    </row>
    <row r="6" spans="1:16" x14ac:dyDescent="0.35">
      <c r="A6" s="83">
        <v>3</v>
      </c>
      <c r="B6" s="61">
        <v>21</v>
      </c>
      <c r="C6" s="61">
        <v>39</v>
      </c>
      <c r="D6" s="62">
        <v>57</v>
      </c>
      <c r="E6" s="60">
        <v>3</v>
      </c>
      <c r="F6" s="61">
        <v>19</v>
      </c>
      <c r="G6" s="88">
        <v>53</v>
      </c>
      <c r="H6" s="62">
        <v>69</v>
      </c>
      <c r="I6" s="60">
        <v>3</v>
      </c>
      <c r="J6" s="61">
        <v>35</v>
      </c>
      <c r="K6" s="61">
        <v>49</v>
      </c>
      <c r="L6" s="92">
        <v>63</v>
      </c>
      <c r="M6" s="60">
        <v>3</v>
      </c>
      <c r="N6" s="88">
        <v>33</v>
      </c>
      <c r="O6" s="61">
        <v>45</v>
      </c>
      <c r="P6" s="62">
        <v>57</v>
      </c>
    </row>
    <row r="7" spans="1:16" x14ac:dyDescent="0.35">
      <c r="A7" s="82">
        <v>4</v>
      </c>
      <c r="B7" s="55">
        <v>22</v>
      </c>
      <c r="C7" s="55">
        <v>40</v>
      </c>
      <c r="D7" s="56">
        <v>58</v>
      </c>
      <c r="E7" s="75">
        <v>4</v>
      </c>
      <c r="F7" s="76">
        <v>20</v>
      </c>
      <c r="G7" s="87">
        <v>54</v>
      </c>
      <c r="H7" s="77">
        <v>70</v>
      </c>
      <c r="I7" s="49">
        <v>4</v>
      </c>
      <c r="J7" s="50">
        <v>36</v>
      </c>
      <c r="K7" s="50">
        <v>50</v>
      </c>
      <c r="L7" s="91">
        <v>64</v>
      </c>
      <c r="M7" s="75">
        <v>4</v>
      </c>
      <c r="N7" s="87">
        <v>34</v>
      </c>
      <c r="O7" s="76">
        <v>46</v>
      </c>
      <c r="P7" s="77">
        <v>58</v>
      </c>
    </row>
    <row r="8" spans="1:16" x14ac:dyDescent="0.35">
      <c r="A8" s="83">
        <v>5</v>
      </c>
      <c r="B8" s="61">
        <v>23</v>
      </c>
      <c r="C8" s="61">
        <v>41</v>
      </c>
      <c r="D8" s="62">
        <v>59</v>
      </c>
      <c r="E8" s="60">
        <v>5</v>
      </c>
      <c r="F8" s="61">
        <v>21</v>
      </c>
      <c r="G8" s="88">
        <v>37</v>
      </c>
      <c r="H8" s="62">
        <v>71</v>
      </c>
      <c r="I8" s="60">
        <v>5</v>
      </c>
      <c r="J8" s="61">
        <v>19</v>
      </c>
      <c r="K8" s="61">
        <v>51</v>
      </c>
      <c r="L8" s="92">
        <v>65</v>
      </c>
      <c r="M8" s="60">
        <v>5</v>
      </c>
      <c r="N8" s="88">
        <v>35</v>
      </c>
      <c r="O8" s="61">
        <v>47</v>
      </c>
      <c r="P8" s="62">
        <v>59</v>
      </c>
    </row>
    <row r="9" spans="1:16" x14ac:dyDescent="0.35">
      <c r="A9" s="82">
        <v>6</v>
      </c>
      <c r="B9" s="55">
        <v>24</v>
      </c>
      <c r="C9" s="55">
        <v>42</v>
      </c>
      <c r="D9" s="56">
        <v>60</v>
      </c>
      <c r="E9" s="75">
        <v>6</v>
      </c>
      <c r="F9" s="76">
        <v>22</v>
      </c>
      <c r="G9" s="87">
        <v>38</v>
      </c>
      <c r="H9" s="77">
        <v>72</v>
      </c>
      <c r="I9" s="49">
        <v>6</v>
      </c>
      <c r="J9" s="50">
        <v>20</v>
      </c>
      <c r="K9" s="50">
        <v>52</v>
      </c>
      <c r="L9" s="91">
        <v>66</v>
      </c>
      <c r="M9" s="75">
        <v>6</v>
      </c>
      <c r="N9" s="87">
        <v>36</v>
      </c>
      <c r="O9" s="76">
        <v>48</v>
      </c>
      <c r="P9" s="77">
        <v>60</v>
      </c>
    </row>
    <row r="10" spans="1:16" x14ac:dyDescent="0.35">
      <c r="A10" s="83">
        <v>7</v>
      </c>
      <c r="B10" s="61">
        <v>25</v>
      </c>
      <c r="C10" s="61">
        <v>43</v>
      </c>
      <c r="D10" s="62">
        <v>61</v>
      </c>
      <c r="E10" s="60">
        <v>7</v>
      </c>
      <c r="F10" s="61">
        <v>23</v>
      </c>
      <c r="G10" s="88">
        <v>39</v>
      </c>
      <c r="H10" s="62">
        <v>55</v>
      </c>
      <c r="I10" s="60">
        <v>7</v>
      </c>
      <c r="J10" s="61">
        <v>21</v>
      </c>
      <c r="K10" s="61">
        <v>53</v>
      </c>
      <c r="L10" s="92">
        <v>67</v>
      </c>
      <c r="M10" s="60">
        <v>7</v>
      </c>
      <c r="N10" s="88">
        <v>19</v>
      </c>
      <c r="O10" s="61">
        <v>49</v>
      </c>
      <c r="P10" s="62">
        <v>61</v>
      </c>
    </row>
    <row r="11" spans="1:16" x14ac:dyDescent="0.35">
      <c r="A11" s="84">
        <v>8</v>
      </c>
      <c r="B11" s="50">
        <v>26</v>
      </c>
      <c r="C11" s="50">
        <v>44</v>
      </c>
      <c r="D11" s="51">
        <v>62</v>
      </c>
      <c r="E11" s="75">
        <v>8</v>
      </c>
      <c r="F11" s="76">
        <v>24</v>
      </c>
      <c r="G11" s="87">
        <v>40</v>
      </c>
      <c r="H11" s="77">
        <v>56</v>
      </c>
      <c r="I11" s="49">
        <v>8</v>
      </c>
      <c r="J11" s="50">
        <v>22</v>
      </c>
      <c r="K11" s="50">
        <v>54</v>
      </c>
      <c r="L11" s="91">
        <v>68</v>
      </c>
      <c r="M11" s="75">
        <v>8</v>
      </c>
      <c r="N11" s="87">
        <v>20</v>
      </c>
      <c r="O11" s="76">
        <v>50</v>
      </c>
      <c r="P11" s="77">
        <v>62</v>
      </c>
    </row>
    <row r="12" spans="1:16" x14ac:dyDescent="0.35">
      <c r="A12" s="83">
        <v>9</v>
      </c>
      <c r="B12" s="61">
        <v>27</v>
      </c>
      <c r="C12" s="61">
        <v>45</v>
      </c>
      <c r="D12" s="62">
        <v>63</v>
      </c>
      <c r="E12" s="60">
        <v>9</v>
      </c>
      <c r="F12" s="61">
        <v>25</v>
      </c>
      <c r="G12" s="88">
        <v>41</v>
      </c>
      <c r="H12" s="62">
        <v>57</v>
      </c>
      <c r="I12" s="60">
        <v>9</v>
      </c>
      <c r="J12" s="61">
        <v>23</v>
      </c>
      <c r="K12" s="61">
        <v>37</v>
      </c>
      <c r="L12" s="92">
        <v>69</v>
      </c>
      <c r="M12" s="60">
        <v>9</v>
      </c>
      <c r="N12" s="88">
        <v>21</v>
      </c>
      <c r="O12" s="61">
        <v>51</v>
      </c>
      <c r="P12" s="62">
        <v>63</v>
      </c>
    </row>
    <row r="13" spans="1:16" x14ac:dyDescent="0.35">
      <c r="A13" s="84">
        <v>10</v>
      </c>
      <c r="B13" s="50">
        <v>28</v>
      </c>
      <c r="C13" s="50">
        <v>46</v>
      </c>
      <c r="D13" s="51">
        <v>64</v>
      </c>
      <c r="E13" s="75">
        <v>10</v>
      </c>
      <c r="F13" s="76">
        <v>26</v>
      </c>
      <c r="G13" s="87">
        <v>42</v>
      </c>
      <c r="H13" s="77">
        <v>58</v>
      </c>
      <c r="I13" s="49">
        <v>10</v>
      </c>
      <c r="J13" s="50">
        <v>24</v>
      </c>
      <c r="K13" s="50">
        <v>38</v>
      </c>
      <c r="L13" s="91">
        <v>70</v>
      </c>
      <c r="M13" s="75">
        <v>10</v>
      </c>
      <c r="N13" s="87">
        <v>22</v>
      </c>
      <c r="O13" s="76">
        <v>52</v>
      </c>
      <c r="P13" s="77">
        <v>64</v>
      </c>
    </row>
    <row r="14" spans="1:16" x14ac:dyDescent="0.35">
      <c r="A14" s="83">
        <v>11</v>
      </c>
      <c r="B14" s="61">
        <v>29</v>
      </c>
      <c r="C14" s="61">
        <v>47</v>
      </c>
      <c r="D14" s="62">
        <v>65</v>
      </c>
      <c r="E14" s="60">
        <v>11</v>
      </c>
      <c r="F14" s="61">
        <v>27</v>
      </c>
      <c r="G14" s="88">
        <v>43</v>
      </c>
      <c r="H14" s="62">
        <v>59</v>
      </c>
      <c r="I14" s="60">
        <v>11</v>
      </c>
      <c r="J14" s="61">
        <v>25</v>
      </c>
      <c r="K14" s="61">
        <v>39</v>
      </c>
      <c r="L14" s="92">
        <v>71</v>
      </c>
      <c r="M14" s="60">
        <v>11</v>
      </c>
      <c r="N14" s="88">
        <v>23</v>
      </c>
      <c r="O14" s="61">
        <v>53</v>
      </c>
      <c r="P14" s="62">
        <v>65</v>
      </c>
    </row>
    <row r="15" spans="1:16" x14ac:dyDescent="0.35">
      <c r="A15" s="84">
        <v>12</v>
      </c>
      <c r="B15" s="50">
        <v>30</v>
      </c>
      <c r="C15" s="50">
        <v>48</v>
      </c>
      <c r="D15" s="51">
        <v>66</v>
      </c>
      <c r="E15" s="75">
        <v>12</v>
      </c>
      <c r="F15" s="76">
        <v>28</v>
      </c>
      <c r="G15" s="87">
        <v>44</v>
      </c>
      <c r="H15" s="77">
        <v>60</v>
      </c>
      <c r="I15" s="49">
        <v>12</v>
      </c>
      <c r="J15" s="50">
        <v>26</v>
      </c>
      <c r="K15" s="50">
        <v>40</v>
      </c>
      <c r="L15" s="91">
        <v>72</v>
      </c>
      <c r="M15" s="75">
        <v>12</v>
      </c>
      <c r="N15" s="87">
        <v>24</v>
      </c>
      <c r="O15" s="76">
        <v>54</v>
      </c>
      <c r="P15" s="77">
        <v>66</v>
      </c>
    </row>
    <row r="16" spans="1:16" x14ac:dyDescent="0.35">
      <c r="A16" s="83">
        <v>13</v>
      </c>
      <c r="B16" s="61">
        <v>31</v>
      </c>
      <c r="C16" s="61">
        <v>49</v>
      </c>
      <c r="D16" s="62">
        <v>67</v>
      </c>
      <c r="E16" s="60">
        <v>13</v>
      </c>
      <c r="F16" s="61">
        <v>29</v>
      </c>
      <c r="G16" s="88">
        <v>45</v>
      </c>
      <c r="H16" s="62">
        <v>61</v>
      </c>
      <c r="I16" s="60">
        <v>13</v>
      </c>
      <c r="J16" s="61">
        <v>27</v>
      </c>
      <c r="K16" s="61">
        <v>41</v>
      </c>
      <c r="L16" s="92">
        <v>55</v>
      </c>
      <c r="M16" s="60">
        <v>13</v>
      </c>
      <c r="N16" s="88">
        <v>25</v>
      </c>
      <c r="O16" s="61">
        <v>37</v>
      </c>
      <c r="P16" s="62">
        <v>67</v>
      </c>
    </row>
    <row r="17" spans="1:16" x14ac:dyDescent="0.35">
      <c r="A17" s="84">
        <v>14</v>
      </c>
      <c r="B17" s="50">
        <v>32</v>
      </c>
      <c r="C17" s="50">
        <v>50</v>
      </c>
      <c r="D17" s="51">
        <v>68</v>
      </c>
      <c r="E17" s="75">
        <v>14</v>
      </c>
      <c r="F17" s="76">
        <v>30</v>
      </c>
      <c r="G17" s="87">
        <v>46</v>
      </c>
      <c r="H17" s="77">
        <v>62</v>
      </c>
      <c r="I17" s="49">
        <v>14</v>
      </c>
      <c r="J17" s="50">
        <v>28</v>
      </c>
      <c r="K17" s="50">
        <v>42</v>
      </c>
      <c r="L17" s="91">
        <v>56</v>
      </c>
      <c r="M17" s="75">
        <v>14</v>
      </c>
      <c r="N17" s="87">
        <v>26</v>
      </c>
      <c r="O17" s="76">
        <v>38</v>
      </c>
      <c r="P17" s="77">
        <v>68</v>
      </c>
    </row>
    <row r="18" spans="1:16" x14ac:dyDescent="0.35">
      <c r="A18" s="83">
        <v>15</v>
      </c>
      <c r="B18" s="61">
        <v>33</v>
      </c>
      <c r="C18" s="61">
        <v>51</v>
      </c>
      <c r="D18" s="62">
        <v>69</v>
      </c>
      <c r="E18" s="60">
        <v>15</v>
      </c>
      <c r="F18" s="61">
        <v>31</v>
      </c>
      <c r="G18" s="88">
        <v>47</v>
      </c>
      <c r="H18" s="62">
        <v>63</v>
      </c>
      <c r="I18" s="60">
        <v>15</v>
      </c>
      <c r="J18" s="61">
        <v>29</v>
      </c>
      <c r="K18" s="61">
        <v>43</v>
      </c>
      <c r="L18" s="92">
        <v>57</v>
      </c>
      <c r="M18" s="60">
        <v>15</v>
      </c>
      <c r="N18" s="88">
        <v>27</v>
      </c>
      <c r="O18" s="61">
        <v>39</v>
      </c>
      <c r="P18" s="62">
        <v>69</v>
      </c>
    </row>
    <row r="19" spans="1:16" x14ac:dyDescent="0.35">
      <c r="A19" s="84">
        <v>16</v>
      </c>
      <c r="B19" s="50">
        <v>34</v>
      </c>
      <c r="C19" s="50">
        <v>52</v>
      </c>
      <c r="D19" s="51">
        <v>70</v>
      </c>
      <c r="E19" s="75">
        <v>16</v>
      </c>
      <c r="F19" s="76">
        <v>32</v>
      </c>
      <c r="G19" s="87">
        <v>48</v>
      </c>
      <c r="H19" s="77">
        <v>64</v>
      </c>
      <c r="I19" s="49">
        <v>16</v>
      </c>
      <c r="J19" s="50">
        <v>30</v>
      </c>
      <c r="K19" s="50">
        <v>44</v>
      </c>
      <c r="L19" s="91">
        <v>58</v>
      </c>
      <c r="M19" s="75">
        <v>16</v>
      </c>
      <c r="N19" s="87">
        <v>28</v>
      </c>
      <c r="O19" s="76">
        <v>40</v>
      </c>
      <c r="P19" s="77">
        <v>70</v>
      </c>
    </row>
    <row r="20" spans="1:16" x14ac:dyDescent="0.35">
      <c r="A20" s="83">
        <v>17</v>
      </c>
      <c r="B20" s="61">
        <v>35</v>
      </c>
      <c r="C20" s="61">
        <v>53</v>
      </c>
      <c r="D20" s="62">
        <v>71</v>
      </c>
      <c r="E20" s="60">
        <v>17</v>
      </c>
      <c r="F20" s="61">
        <v>33</v>
      </c>
      <c r="G20" s="88">
        <v>49</v>
      </c>
      <c r="H20" s="62">
        <v>65</v>
      </c>
      <c r="I20" s="60">
        <v>17</v>
      </c>
      <c r="J20" s="61">
        <v>31</v>
      </c>
      <c r="K20" s="61">
        <v>45</v>
      </c>
      <c r="L20" s="92">
        <v>59</v>
      </c>
      <c r="M20" s="60">
        <v>17</v>
      </c>
      <c r="N20" s="88">
        <v>29</v>
      </c>
      <c r="O20" s="61">
        <v>41</v>
      </c>
      <c r="P20" s="62">
        <v>71</v>
      </c>
    </row>
    <row r="21" spans="1:16" x14ac:dyDescent="0.35">
      <c r="A21" s="84">
        <v>18</v>
      </c>
      <c r="B21" s="50">
        <v>36</v>
      </c>
      <c r="C21" s="50">
        <v>54</v>
      </c>
      <c r="D21" s="51">
        <v>72</v>
      </c>
      <c r="E21" s="75">
        <v>18</v>
      </c>
      <c r="F21" s="76">
        <v>34</v>
      </c>
      <c r="G21" s="87">
        <v>50</v>
      </c>
      <c r="H21" s="77">
        <v>66</v>
      </c>
      <c r="I21" s="49">
        <v>18</v>
      </c>
      <c r="J21" s="50">
        <v>32</v>
      </c>
      <c r="K21" s="50">
        <v>46</v>
      </c>
      <c r="L21" s="91">
        <v>60</v>
      </c>
      <c r="M21" s="75">
        <v>18</v>
      </c>
      <c r="N21" s="87">
        <v>30</v>
      </c>
      <c r="O21" s="76">
        <v>42</v>
      </c>
      <c r="P21" s="77">
        <v>72</v>
      </c>
    </row>
    <row r="22" spans="1:16" ht="15" thickBot="1" x14ac:dyDescent="0.4"/>
    <row r="23" spans="1:16" x14ac:dyDescent="0.35">
      <c r="A23" s="108" t="s">
        <v>34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10"/>
    </row>
    <row r="24" spans="1:16" ht="5.25" customHeight="1" thickBot="1" x14ac:dyDescent="0.4">
      <c r="A24" s="111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3"/>
    </row>
    <row r="25" spans="1:16" ht="15" thickBot="1" x14ac:dyDescent="0.4">
      <c r="A25" s="102" t="s">
        <v>30</v>
      </c>
      <c r="B25" s="103"/>
      <c r="C25" s="103"/>
      <c r="D25" s="104"/>
      <c r="E25" s="105" t="s">
        <v>31</v>
      </c>
      <c r="F25" s="106"/>
      <c r="G25" s="106"/>
      <c r="H25" s="107"/>
      <c r="I25" s="102" t="s">
        <v>32</v>
      </c>
      <c r="J25" s="103"/>
      <c r="K25" s="103"/>
      <c r="L25" s="104"/>
      <c r="M25" s="105" t="s">
        <v>33</v>
      </c>
      <c r="N25" s="106"/>
      <c r="O25" s="106"/>
      <c r="P25" s="107"/>
    </row>
    <row r="26" spans="1:16" x14ac:dyDescent="0.35">
      <c r="A26" s="57">
        <v>10</v>
      </c>
      <c r="B26" s="86">
        <v>45</v>
      </c>
      <c r="C26" s="58">
        <v>62</v>
      </c>
      <c r="D26" s="59">
        <v>7</v>
      </c>
      <c r="E26" s="57">
        <v>10</v>
      </c>
      <c r="F26" s="58">
        <v>43</v>
      </c>
      <c r="G26" s="58">
        <v>58</v>
      </c>
      <c r="H26" s="90">
        <v>1</v>
      </c>
      <c r="I26" s="57">
        <v>10</v>
      </c>
      <c r="J26" s="58">
        <v>41</v>
      </c>
      <c r="K26" s="86">
        <v>54</v>
      </c>
      <c r="L26" s="59">
        <v>67</v>
      </c>
      <c r="M26" s="81">
        <v>10</v>
      </c>
      <c r="N26" s="58">
        <v>39</v>
      </c>
      <c r="O26" s="58">
        <v>50</v>
      </c>
      <c r="P26" s="59">
        <v>7</v>
      </c>
    </row>
    <row r="27" spans="1:16" x14ac:dyDescent="0.35">
      <c r="A27" s="94">
        <v>11</v>
      </c>
      <c r="B27" s="95">
        <v>28</v>
      </c>
      <c r="C27" s="55">
        <v>63</v>
      </c>
      <c r="D27" s="56">
        <v>8</v>
      </c>
      <c r="E27" s="75">
        <v>11</v>
      </c>
      <c r="F27" s="76">
        <v>44</v>
      </c>
      <c r="G27" s="76">
        <v>59</v>
      </c>
      <c r="H27" s="98">
        <v>2</v>
      </c>
      <c r="I27" s="49">
        <v>11</v>
      </c>
      <c r="J27" s="50">
        <v>42</v>
      </c>
      <c r="K27" s="96">
        <v>55</v>
      </c>
      <c r="L27" s="51">
        <v>68</v>
      </c>
      <c r="M27" s="100">
        <v>11</v>
      </c>
      <c r="N27" s="76">
        <v>40</v>
      </c>
      <c r="O27" s="76">
        <v>51</v>
      </c>
      <c r="P27" s="77">
        <v>8</v>
      </c>
    </row>
    <row r="28" spans="1:16" x14ac:dyDescent="0.35">
      <c r="A28" s="60">
        <v>12</v>
      </c>
      <c r="B28" s="88">
        <v>29</v>
      </c>
      <c r="C28" s="61">
        <v>46</v>
      </c>
      <c r="D28" s="62">
        <v>9</v>
      </c>
      <c r="E28" s="60">
        <v>12</v>
      </c>
      <c r="F28" s="61">
        <v>45</v>
      </c>
      <c r="G28" s="61">
        <v>60</v>
      </c>
      <c r="H28" s="92">
        <v>3</v>
      </c>
      <c r="I28" s="60">
        <v>12</v>
      </c>
      <c r="J28" s="61">
        <v>43</v>
      </c>
      <c r="K28" s="88">
        <v>56</v>
      </c>
      <c r="L28" s="62">
        <v>69</v>
      </c>
      <c r="M28" s="83">
        <v>12</v>
      </c>
      <c r="N28" s="61">
        <v>41</v>
      </c>
      <c r="O28" s="61">
        <v>52</v>
      </c>
      <c r="P28" s="62">
        <v>9</v>
      </c>
    </row>
    <row r="29" spans="1:16" x14ac:dyDescent="0.35">
      <c r="A29" s="94">
        <v>13</v>
      </c>
      <c r="B29" s="95">
        <v>30</v>
      </c>
      <c r="C29" s="55">
        <v>47</v>
      </c>
      <c r="D29" s="56">
        <v>64</v>
      </c>
      <c r="E29" s="75">
        <v>13</v>
      </c>
      <c r="F29" s="76">
        <v>28</v>
      </c>
      <c r="G29" s="76">
        <v>61</v>
      </c>
      <c r="H29" s="98">
        <v>4</v>
      </c>
      <c r="I29" s="49">
        <v>13</v>
      </c>
      <c r="J29" s="50">
        <v>44</v>
      </c>
      <c r="K29" s="96">
        <v>57</v>
      </c>
      <c r="L29" s="51">
        <v>70</v>
      </c>
      <c r="M29" s="100">
        <v>13</v>
      </c>
      <c r="N29" s="76">
        <v>42</v>
      </c>
      <c r="O29" s="76">
        <v>53</v>
      </c>
      <c r="P29" s="77">
        <v>64</v>
      </c>
    </row>
    <row r="30" spans="1:16" x14ac:dyDescent="0.35">
      <c r="A30" s="60">
        <v>14</v>
      </c>
      <c r="B30" s="88">
        <v>31</v>
      </c>
      <c r="C30" s="61">
        <v>48</v>
      </c>
      <c r="D30" s="62">
        <v>65</v>
      </c>
      <c r="E30" s="60">
        <v>14</v>
      </c>
      <c r="F30" s="61">
        <v>29</v>
      </c>
      <c r="G30" s="61">
        <v>62</v>
      </c>
      <c r="H30" s="92">
        <v>5</v>
      </c>
      <c r="I30" s="60">
        <v>14</v>
      </c>
      <c r="J30" s="61">
        <v>45</v>
      </c>
      <c r="K30" s="88">
        <v>58</v>
      </c>
      <c r="L30" s="62">
        <v>71</v>
      </c>
      <c r="M30" s="83">
        <v>14</v>
      </c>
      <c r="N30" s="61">
        <v>43</v>
      </c>
      <c r="O30" s="61">
        <v>54</v>
      </c>
      <c r="P30" s="62">
        <v>65</v>
      </c>
    </row>
    <row r="31" spans="1:16" x14ac:dyDescent="0.35">
      <c r="A31" s="94">
        <v>15</v>
      </c>
      <c r="B31" s="95">
        <v>32</v>
      </c>
      <c r="C31" s="55">
        <v>49</v>
      </c>
      <c r="D31" s="56">
        <v>66</v>
      </c>
      <c r="E31" s="75">
        <v>15</v>
      </c>
      <c r="F31" s="76">
        <v>30</v>
      </c>
      <c r="G31" s="76">
        <v>63</v>
      </c>
      <c r="H31" s="98">
        <v>6</v>
      </c>
      <c r="I31" s="49">
        <v>15</v>
      </c>
      <c r="J31" s="50">
        <v>28</v>
      </c>
      <c r="K31" s="96">
        <v>59</v>
      </c>
      <c r="L31" s="51">
        <v>72</v>
      </c>
      <c r="M31" s="100">
        <v>15</v>
      </c>
      <c r="N31" s="76">
        <v>44</v>
      </c>
      <c r="O31" s="76">
        <v>55</v>
      </c>
      <c r="P31" s="77">
        <v>66</v>
      </c>
    </row>
    <row r="32" spans="1:16" x14ac:dyDescent="0.35">
      <c r="A32" s="60">
        <v>16</v>
      </c>
      <c r="B32" s="88">
        <v>33</v>
      </c>
      <c r="C32" s="61">
        <v>50</v>
      </c>
      <c r="D32" s="62">
        <v>67</v>
      </c>
      <c r="E32" s="60">
        <v>16</v>
      </c>
      <c r="F32" s="61">
        <v>31</v>
      </c>
      <c r="G32" s="61">
        <v>46</v>
      </c>
      <c r="H32" s="92">
        <v>7</v>
      </c>
      <c r="I32" s="60">
        <v>16</v>
      </c>
      <c r="J32" s="61">
        <v>29</v>
      </c>
      <c r="K32" s="88">
        <v>60</v>
      </c>
      <c r="L32" s="62">
        <v>1</v>
      </c>
      <c r="M32" s="83">
        <v>16</v>
      </c>
      <c r="N32" s="61">
        <v>45</v>
      </c>
      <c r="O32" s="61">
        <v>56</v>
      </c>
      <c r="P32" s="62">
        <v>67</v>
      </c>
    </row>
    <row r="33" spans="1:16" x14ac:dyDescent="0.35">
      <c r="A33" s="49">
        <v>17</v>
      </c>
      <c r="B33" s="96">
        <v>34</v>
      </c>
      <c r="C33" s="50">
        <v>51</v>
      </c>
      <c r="D33" s="51">
        <v>68</v>
      </c>
      <c r="E33" s="75">
        <v>17</v>
      </c>
      <c r="F33" s="76">
        <v>32</v>
      </c>
      <c r="G33" s="76">
        <v>47</v>
      </c>
      <c r="H33" s="98">
        <v>8</v>
      </c>
      <c r="I33" s="49">
        <v>17</v>
      </c>
      <c r="J33" s="50">
        <v>30</v>
      </c>
      <c r="K33" s="96">
        <v>61</v>
      </c>
      <c r="L33" s="51">
        <v>2</v>
      </c>
      <c r="M33" s="100">
        <v>17</v>
      </c>
      <c r="N33" s="76">
        <v>28</v>
      </c>
      <c r="O33" s="76">
        <v>57</v>
      </c>
      <c r="P33" s="77">
        <v>68</v>
      </c>
    </row>
    <row r="34" spans="1:16" x14ac:dyDescent="0.35">
      <c r="A34" s="60">
        <v>18</v>
      </c>
      <c r="B34" s="88">
        <v>35</v>
      </c>
      <c r="C34" s="61">
        <v>52</v>
      </c>
      <c r="D34" s="62">
        <v>69</v>
      </c>
      <c r="E34" s="60">
        <v>18</v>
      </c>
      <c r="F34" s="61">
        <v>33</v>
      </c>
      <c r="G34" s="61">
        <v>48</v>
      </c>
      <c r="H34" s="92">
        <v>9</v>
      </c>
      <c r="I34" s="60">
        <v>18</v>
      </c>
      <c r="J34" s="61">
        <v>31</v>
      </c>
      <c r="K34" s="88">
        <v>62</v>
      </c>
      <c r="L34" s="62">
        <v>3</v>
      </c>
      <c r="M34" s="83">
        <v>18</v>
      </c>
      <c r="N34" s="61">
        <v>29</v>
      </c>
      <c r="O34" s="61">
        <v>58</v>
      </c>
      <c r="P34" s="62">
        <v>69</v>
      </c>
    </row>
    <row r="35" spans="1:16" x14ac:dyDescent="0.35">
      <c r="A35" s="49">
        <v>19</v>
      </c>
      <c r="B35" s="96">
        <v>36</v>
      </c>
      <c r="C35" s="50">
        <v>53</v>
      </c>
      <c r="D35" s="51">
        <v>70</v>
      </c>
      <c r="E35" s="75">
        <v>19</v>
      </c>
      <c r="F35" s="76">
        <v>34</v>
      </c>
      <c r="G35" s="76">
        <v>49</v>
      </c>
      <c r="H35" s="98">
        <v>64</v>
      </c>
      <c r="I35" s="49">
        <v>19</v>
      </c>
      <c r="J35" s="50">
        <v>32</v>
      </c>
      <c r="K35" s="96">
        <v>63</v>
      </c>
      <c r="L35" s="51">
        <v>4</v>
      </c>
      <c r="M35" s="100">
        <v>19</v>
      </c>
      <c r="N35" s="76">
        <v>30</v>
      </c>
      <c r="O35" s="76">
        <v>59</v>
      </c>
      <c r="P35" s="77">
        <v>70</v>
      </c>
    </row>
    <row r="36" spans="1:16" x14ac:dyDescent="0.35">
      <c r="A36" s="60">
        <v>20</v>
      </c>
      <c r="B36" s="88">
        <v>37</v>
      </c>
      <c r="C36" s="61">
        <v>54</v>
      </c>
      <c r="D36" s="62">
        <v>71</v>
      </c>
      <c r="E36" s="60">
        <v>20</v>
      </c>
      <c r="F36" s="61">
        <v>35</v>
      </c>
      <c r="G36" s="61">
        <v>50</v>
      </c>
      <c r="H36" s="92">
        <v>65</v>
      </c>
      <c r="I36" s="60">
        <v>20</v>
      </c>
      <c r="J36" s="61">
        <v>33</v>
      </c>
      <c r="K36" s="88">
        <v>46</v>
      </c>
      <c r="L36" s="62">
        <v>5</v>
      </c>
      <c r="M36" s="83">
        <v>20</v>
      </c>
      <c r="N36" s="61">
        <v>31</v>
      </c>
      <c r="O36" s="61">
        <v>60</v>
      </c>
      <c r="P36" s="62">
        <v>71</v>
      </c>
    </row>
    <row r="37" spans="1:16" x14ac:dyDescent="0.35">
      <c r="A37" s="49">
        <v>21</v>
      </c>
      <c r="B37" s="96">
        <v>38</v>
      </c>
      <c r="C37" s="50">
        <v>55</v>
      </c>
      <c r="D37" s="51">
        <v>72</v>
      </c>
      <c r="E37" s="75">
        <v>21</v>
      </c>
      <c r="F37" s="76">
        <v>36</v>
      </c>
      <c r="G37" s="76">
        <v>51</v>
      </c>
      <c r="H37" s="98">
        <v>66</v>
      </c>
      <c r="I37" s="49">
        <v>21</v>
      </c>
      <c r="J37" s="50">
        <v>34</v>
      </c>
      <c r="K37" s="96">
        <v>47</v>
      </c>
      <c r="L37" s="51">
        <v>6</v>
      </c>
      <c r="M37" s="100">
        <v>21</v>
      </c>
      <c r="N37" s="76">
        <v>32</v>
      </c>
      <c r="O37" s="76">
        <v>61</v>
      </c>
      <c r="P37" s="77">
        <v>72</v>
      </c>
    </row>
    <row r="38" spans="1:16" x14ac:dyDescent="0.35">
      <c r="A38" s="60">
        <v>22</v>
      </c>
      <c r="B38" s="88">
        <v>39</v>
      </c>
      <c r="C38" s="61">
        <v>56</v>
      </c>
      <c r="D38" s="62">
        <v>1</v>
      </c>
      <c r="E38" s="60">
        <v>22</v>
      </c>
      <c r="F38" s="61">
        <v>37</v>
      </c>
      <c r="G38" s="61">
        <v>52</v>
      </c>
      <c r="H38" s="92">
        <v>67</v>
      </c>
      <c r="I38" s="60">
        <v>22</v>
      </c>
      <c r="J38" s="61">
        <v>35</v>
      </c>
      <c r="K38" s="88">
        <v>48</v>
      </c>
      <c r="L38" s="62">
        <v>7</v>
      </c>
      <c r="M38" s="83">
        <v>22</v>
      </c>
      <c r="N38" s="61">
        <v>33</v>
      </c>
      <c r="O38" s="61">
        <v>62</v>
      </c>
      <c r="P38" s="62">
        <v>1</v>
      </c>
    </row>
    <row r="39" spans="1:16" x14ac:dyDescent="0.35">
      <c r="A39" s="49">
        <v>23</v>
      </c>
      <c r="B39" s="96">
        <v>40</v>
      </c>
      <c r="C39" s="50">
        <v>57</v>
      </c>
      <c r="D39" s="51">
        <v>2</v>
      </c>
      <c r="E39" s="75">
        <v>23</v>
      </c>
      <c r="F39" s="76">
        <v>38</v>
      </c>
      <c r="G39" s="76">
        <v>53</v>
      </c>
      <c r="H39" s="98">
        <v>68</v>
      </c>
      <c r="I39" s="49">
        <v>23</v>
      </c>
      <c r="J39" s="50">
        <v>36</v>
      </c>
      <c r="K39" s="96">
        <v>49</v>
      </c>
      <c r="L39" s="51">
        <v>8</v>
      </c>
      <c r="M39" s="100">
        <v>23</v>
      </c>
      <c r="N39" s="76">
        <v>34</v>
      </c>
      <c r="O39" s="76">
        <v>63</v>
      </c>
      <c r="P39" s="77">
        <v>2</v>
      </c>
    </row>
    <row r="40" spans="1:16" x14ac:dyDescent="0.35">
      <c r="A40" s="60">
        <v>24</v>
      </c>
      <c r="B40" s="88">
        <v>41</v>
      </c>
      <c r="C40" s="61">
        <v>58</v>
      </c>
      <c r="D40" s="62">
        <v>3</v>
      </c>
      <c r="E40" s="60">
        <v>24</v>
      </c>
      <c r="F40" s="61">
        <v>39</v>
      </c>
      <c r="G40" s="61">
        <v>54</v>
      </c>
      <c r="H40" s="92">
        <v>69</v>
      </c>
      <c r="I40" s="60">
        <v>24</v>
      </c>
      <c r="J40" s="61">
        <v>37</v>
      </c>
      <c r="K40" s="88">
        <v>50</v>
      </c>
      <c r="L40" s="62">
        <v>9</v>
      </c>
      <c r="M40" s="83">
        <v>24</v>
      </c>
      <c r="N40" s="61">
        <v>35</v>
      </c>
      <c r="O40" s="61">
        <v>46</v>
      </c>
      <c r="P40" s="62">
        <v>3</v>
      </c>
    </row>
    <row r="41" spans="1:16" x14ac:dyDescent="0.35">
      <c r="A41" s="49">
        <v>25</v>
      </c>
      <c r="B41" s="96">
        <v>42</v>
      </c>
      <c r="C41" s="50">
        <v>59</v>
      </c>
      <c r="D41" s="51">
        <v>4</v>
      </c>
      <c r="E41" s="75">
        <v>25</v>
      </c>
      <c r="F41" s="76">
        <v>40</v>
      </c>
      <c r="G41" s="76">
        <v>55</v>
      </c>
      <c r="H41" s="98">
        <v>70</v>
      </c>
      <c r="I41" s="49">
        <v>25</v>
      </c>
      <c r="J41" s="50">
        <v>38</v>
      </c>
      <c r="K41" s="96">
        <v>51</v>
      </c>
      <c r="L41" s="51">
        <v>64</v>
      </c>
      <c r="M41" s="100">
        <v>25</v>
      </c>
      <c r="N41" s="76">
        <v>36</v>
      </c>
      <c r="O41" s="76">
        <v>47</v>
      </c>
      <c r="P41" s="77">
        <v>4</v>
      </c>
    </row>
    <row r="42" spans="1:16" x14ac:dyDescent="0.35">
      <c r="A42" s="60">
        <v>26</v>
      </c>
      <c r="B42" s="88">
        <v>43</v>
      </c>
      <c r="C42" s="61">
        <v>60</v>
      </c>
      <c r="D42" s="62">
        <v>5</v>
      </c>
      <c r="E42" s="60">
        <v>26</v>
      </c>
      <c r="F42" s="61">
        <v>41</v>
      </c>
      <c r="G42" s="61">
        <v>56</v>
      </c>
      <c r="H42" s="92">
        <v>71</v>
      </c>
      <c r="I42" s="60">
        <v>26</v>
      </c>
      <c r="J42" s="61">
        <v>39</v>
      </c>
      <c r="K42" s="88">
        <v>52</v>
      </c>
      <c r="L42" s="62">
        <v>65</v>
      </c>
      <c r="M42" s="83">
        <v>26</v>
      </c>
      <c r="N42" s="61">
        <v>37</v>
      </c>
      <c r="O42" s="61">
        <v>48</v>
      </c>
      <c r="P42" s="62">
        <v>5</v>
      </c>
    </row>
    <row r="43" spans="1:16" x14ac:dyDescent="0.35">
      <c r="A43" s="49">
        <v>27</v>
      </c>
      <c r="B43" s="96">
        <v>44</v>
      </c>
      <c r="C43" s="50">
        <v>61</v>
      </c>
      <c r="D43" s="51">
        <v>6</v>
      </c>
      <c r="E43" s="75">
        <v>27</v>
      </c>
      <c r="F43" s="76">
        <v>42</v>
      </c>
      <c r="G43" s="76">
        <v>57</v>
      </c>
      <c r="H43" s="98">
        <v>72</v>
      </c>
      <c r="I43" s="49">
        <v>27</v>
      </c>
      <c r="J43" s="50">
        <v>40</v>
      </c>
      <c r="K43" s="96">
        <v>53</v>
      </c>
      <c r="L43" s="51">
        <v>66</v>
      </c>
      <c r="M43" s="100">
        <v>27</v>
      </c>
      <c r="N43" s="76">
        <v>38</v>
      </c>
      <c r="O43" s="76">
        <v>49</v>
      </c>
      <c r="P43" s="77">
        <v>6</v>
      </c>
    </row>
  </sheetData>
  <mergeCells count="10">
    <mergeCell ref="A25:D25"/>
    <mergeCell ref="E25:H25"/>
    <mergeCell ref="I25:L25"/>
    <mergeCell ref="M25:P25"/>
    <mergeCell ref="A1:P2"/>
    <mergeCell ref="A3:D3"/>
    <mergeCell ref="E3:H3"/>
    <mergeCell ref="I3:L3"/>
    <mergeCell ref="M3:P3"/>
    <mergeCell ref="A23:P24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89" orientation="landscape" r:id="rId1"/>
  <headerFooter>
    <oddHeader>&amp;C&amp;"-,Tučné"&amp;16&amp;A hráčů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82"/>
  <sheetViews>
    <sheetView topLeftCell="O1" workbookViewId="0">
      <selection activeCell="W3" sqref="W3:AL20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2</v>
      </c>
      <c r="C1">
        <f>FLOOR(2*$B$2/32,1)</f>
        <v>4</v>
      </c>
      <c r="D1">
        <f>FLOOR(3*$B$2/32,1)</f>
        <v>6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5</v>
      </c>
      <c r="AH1" s="10">
        <v>5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72</v>
      </c>
      <c r="C2">
        <v>4</v>
      </c>
      <c r="D2">
        <v>8</v>
      </c>
      <c r="E2">
        <v>12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8" si="0">MOD($A3-G$1*G$2,$B$2/4)+G$2*$B$2/4+1</f>
        <v>1</v>
      </c>
      <c r="H3" s="64">
        <f t="shared" si="0"/>
        <v>19</v>
      </c>
      <c r="I3" s="64">
        <f t="shared" si="0"/>
        <v>37</v>
      </c>
      <c r="J3" s="65">
        <f t="shared" si="0"/>
        <v>55</v>
      </c>
      <c r="K3" s="63">
        <f t="shared" si="0"/>
        <v>1</v>
      </c>
      <c r="L3" s="64">
        <f t="shared" si="0"/>
        <v>35</v>
      </c>
      <c r="M3" s="64">
        <f t="shared" si="0"/>
        <v>51</v>
      </c>
      <c r="N3" s="65">
        <f t="shared" si="0"/>
        <v>67</v>
      </c>
      <c r="O3" s="63">
        <f t="shared" si="0"/>
        <v>1</v>
      </c>
      <c r="P3" s="64">
        <f t="shared" si="0"/>
        <v>33</v>
      </c>
      <c r="Q3" s="64">
        <f t="shared" si="0"/>
        <v>47</v>
      </c>
      <c r="R3" s="65">
        <f t="shared" si="0"/>
        <v>61</v>
      </c>
      <c r="S3" s="63">
        <f t="shared" si="0"/>
        <v>1</v>
      </c>
      <c r="T3" s="64">
        <f t="shared" si="0"/>
        <v>31</v>
      </c>
      <c r="U3" s="64">
        <f t="shared" si="0"/>
        <v>43</v>
      </c>
      <c r="V3" s="65">
        <f t="shared" si="0"/>
        <v>55</v>
      </c>
      <c r="W3" s="46">
        <f t="shared" ref="W3:AL18" si="1">MOD(MOD($A3-W$1*W$2,$B$2/4)+W$2*$B$2/4+ROUND($B$2/8,0),$B$2)+1</f>
        <v>10</v>
      </c>
      <c r="X3" s="46">
        <f t="shared" si="1"/>
        <v>45</v>
      </c>
      <c r="Y3" s="46">
        <f t="shared" si="1"/>
        <v>62</v>
      </c>
      <c r="Z3" s="46">
        <f t="shared" si="1"/>
        <v>7</v>
      </c>
      <c r="AA3" s="46">
        <f t="shared" si="1"/>
        <v>10</v>
      </c>
      <c r="AB3" s="46">
        <f t="shared" si="1"/>
        <v>43</v>
      </c>
      <c r="AC3" s="46">
        <f t="shared" si="1"/>
        <v>58</v>
      </c>
      <c r="AD3" s="46">
        <f t="shared" si="1"/>
        <v>1</v>
      </c>
      <c r="AE3" s="46">
        <f t="shared" si="1"/>
        <v>10</v>
      </c>
      <c r="AF3" s="46">
        <f t="shared" si="1"/>
        <v>41</v>
      </c>
      <c r="AG3" s="46">
        <f t="shared" si="1"/>
        <v>54</v>
      </c>
      <c r="AH3" s="46">
        <f t="shared" si="1"/>
        <v>67</v>
      </c>
      <c r="AI3" s="46">
        <f t="shared" si="1"/>
        <v>10</v>
      </c>
      <c r="AJ3" s="46">
        <f t="shared" si="1"/>
        <v>39</v>
      </c>
      <c r="AK3" s="46">
        <f t="shared" si="1"/>
        <v>50</v>
      </c>
      <c r="AL3" s="46">
        <f t="shared" si="1"/>
        <v>7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20</v>
      </c>
      <c r="I4" s="40">
        <f t="shared" si="0"/>
        <v>38</v>
      </c>
      <c r="J4" s="66">
        <f t="shared" si="0"/>
        <v>56</v>
      </c>
      <c r="K4" s="43">
        <f t="shared" si="0"/>
        <v>2</v>
      </c>
      <c r="L4" s="40">
        <f t="shared" si="0"/>
        <v>36</v>
      </c>
      <c r="M4" s="40">
        <f t="shared" si="0"/>
        <v>52</v>
      </c>
      <c r="N4" s="66">
        <f t="shared" si="0"/>
        <v>68</v>
      </c>
      <c r="O4" s="43">
        <f t="shared" si="0"/>
        <v>2</v>
      </c>
      <c r="P4" s="40">
        <f t="shared" si="0"/>
        <v>34</v>
      </c>
      <c r="Q4" s="40">
        <f t="shared" si="0"/>
        <v>48</v>
      </c>
      <c r="R4" s="66">
        <f t="shared" si="0"/>
        <v>62</v>
      </c>
      <c r="S4" s="43">
        <f t="shared" si="0"/>
        <v>2</v>
      </c>
      <c r="T4" s="40">
        <f t="shared" si="0"/>
        <v>32</v>
      </c>
      <c r="U4" s="40">
        <f t="shared" si="0"/>
        <v>44</v>
      </c>
      <c r="V4" s="66">
        <f t="shared" si="0"/>
        <v>56</v>
      </c>
      <c r="W4" s="46">
        <f t="shared" si="1"/>
        <v>11</v>
      </c>
      <c r="X4" s="46">
        <f t="shared" si="1"/>
        <v>28</v>
      </c>
      <c r="Y4" s="46">
        <f t="shared" si="1"/>
        <v>63</v>
      </c>
      <c r="Z4" s="46">
        <f t="shared" si="1"/>
        <v>8</v>
      </c>
      <c r="AA4" s="46">
        <f t="shared" si="1"/>
        <v>11</v>
      </c>
      <c r="AB4" s="46">
        <f t="shared" si="1"/>
        <v>44</v>
      </c>
      <c r="AC4" s="46">
        <f t="shared" si="1"/>
        <v>59</v>
      </c>
      <c r="AD4" s="46">
        <f t="shared" si="1"/>
        <v>2</v>
      </c>
      <c r="AE4" s="46">
        <f t="shared" si="1"/>
        <v>11</v>
      </c>
      <c r="AF4" s="46">
        <f t="shared" si="1"/>
        <v>42</v>
      </c>
      <c r="AG4" s="46">
        <f t="shared" si="1"/>
        <v>55</v>
      </c>
      <c r="AH4" s="46">
        <f t="shared" si="1"/>
        <v>68</v>
      </c>
      <c r="AI4" s="46">
        <f t="shared" si="1"/>
        <v>11</v>
      </c>
      <c r="AJ4" s="46">
        <f t="shared" si="1"/>
        <v>40</v>
      </c>
      <c r="AK4" s="46">
        <f t="shared" si="1"/>
        <v>51</v>
      </c>
      <c r="AL4" s="46">
        <f t="shared" si="1"/>
        <v>8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21</v>
      </c>
      <c r="I5" s="40">
        <f t="shared" si="0"/>
        <v>39</v>
      </c>
      <c r="J5" s="66">
        <f t="shared" si="0"/>
        <v>57</v>
      </c>
      <c r="K5" s="43">
        <f t="shared" si="0"/>
        <v>3</v>
      </c>
      <c r="L5" s="40">
        <f t="shared" si="0"/>
        <v>19</v>
      </c>
      <c r="M5" s="40">
        <f t="shared" si="0"/>
        <v>53</v>
      </c>
      <c r="N5" s="66">
        <f t="shared" si="0"/>
        <v>69</v>
      </c>
      <c r="O5" s="43">
        <f t="shared" si="0"/>
        <v>3</v>
      </c>
      <c r="P5" s="40">
        <f t="shared" si="0"/>
        <v>35</v>
      </c>
      <c r="Q5" s="40">
        <f t="shared" si="0"/>
        <v>49</v>
      </c>
      <c r="R5" s="66">
        <f t="shared" si="0"/>
        <v>63</v>
      </c>
      <c r="S5" s="43">
        <f t="shared" si="0"/>
        <v>3</v>
      </c>
      <c r="T5" s="40">
        <f t="shared" si="0"/>
        <v>33</v>
      </c>
      <c r="U5" s="40">
        <f t="shared" si="0"/>
        <v>45</v>
      </c>
      <c r="V5" s="66">
        <f t="shared" si="0"/>
        <v>57</v>
      </c>
      <c r="W5" s="46">
        <f t="shared" si="1"/>
        <v>12</v>
      </c>
      <c r="X5" s="46">
        <f t="shared" si="1"/>
        <v>29</v>
      </c>
      <c r="Y5" s="46">
        <f t="shared" si="1"/>
        <v>46</v>
      </c>
      <c r="Z5" s="46">
        <f t="shared" si="1"/>
        <v>9</v>
      </c>
      <c r="AA5" s="46">
        <f t="shared" si="1"/>
        <v>12</v>
      </c>
      <c r="AB5" s="46">
        <f t="shared" si="1"/>
        <v>45</v>
      </c>
      <c r="AC5" s="46">
        <f t="shared" si="1"/>
        <v>60</v>
      </c>
      <c r="AD5" s="46">
        <f t="shared" si="1"/>
        <v>3</v>
      </c>
      <c r="AE5" s="46">
        <f t="shared" si="1"/>
        <v>12</v>
      </c>
      <c r="AF5" s="46">
        <f t="shared" si="1"/>
        <v>43</v>
      </c>
      <c r="AG5" s="46">
        <f t="shared" si="1"/>
        <v>56</v>
      </c>
      <c r="AH5" s="46">
        <f t="shared" si="1"/>
        <v>69</v>
      </c>
      <c r="AI5" s="46">
        <f t="shared" si="1"/>
        <v>12</v>
      </c>
      <c r="AJ5" s="46">
        <f t="shared" si="1"/>
        <v>41</v>
      </c>
      <c r="AK5" s="46">
        <f t="shared" si="1"/>
        <v>52</v>
      </c>
      <c r="AL5" s="46">
        <f t="shared" si="1"/>
        <v>9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22</v>
      </c>
      <c r="I6" s="40">
        <f t="shared" si="0"/>
        <v>40</v>
      </c>
      <c r="J6" s="66">
        <f t="shared" si="0"/>
        <v>58</v>
      </c>
      <c r="K6" s="43">
        <f t="shared" si="0"/>
        <v>4</v>
      </c>
      <c r="L6" s="40">
        <f t="shared" si="0"/>
        <v>20</v>
      </c>
      <c r="M6" s="40">
        <f t="shared" si="0"/>
        <v>54</v>
      </c>
      <c r="N6" s="66">
        <f t="shared" si="0"/>
        <v>70</v>
      </c>
      <c r="O6" s="43">
        <f t="shared" si="0"/>
        <v>4</v>
      </c>
      <c r="P6" s="40">
        <f t="shared" si="0"/>
        <v>36</v>
      </c>
      <c r="Q6" s="40">
        <f t="shared" si="0"/>
        <v>50</v>
      </c>
      <c r="R6" s="66">
        <f t="shared" si="0"/>
        <v>64</v>
      </c>
      <c r="S6" s="43">
        <f t="shared" si="0"/>
        <v>4</v>
      </c>
      <c r="T6" s="40">
        <f t="shared" si="0"/>
        <v>34</v>
      </c>
      <c r="U6" s="40">
        <f t="shared" si="0"/>
        <v>46</v>
      </c>
      <c r="V6" s="66">
        <f t="shared" si="0"/>
        <v>58</v>
      </c>
      <c r="W6" s="46">
        <f t="shared" si="1"/>
        <v>13</v>
      </c>
      <c r="X6" s="46">
        <f t="shared" si="1"/>
        <v>30</v>
      </c>
      <c r="Y6" s="46">
        <f t="shared" si="1"/>
        <v>47</v>
      </c>
      <c r="Z6" s="46">
        <f t="shared" si="1"/>
        <v>64</v>
      </c>
      <c r="AA6" s="46">
        <f t="shared" si="1"/>
        <v>13</v>
      </c>
      <c r="AB6" s="46">
        <f t="shared" si="1"/>
        <v>28</v>
      </c>
      <c r="AC6" s="46">
        <f t="shared" si="1"/>
        <v>61</v>
      </c>
      <c r="AD6" s="46">
        <f t="shared" si="1"/>
        <v>4</v>
      </c>
      <c r="AE6" s="46">
        <f t="shared" si="1"/>
        <v>13</v>
      </c>
      <c r="AF6" s="46">
        <f t="shared" si="1"/>
        <v>44</v>
      </c>
      <c r="AG6" s="46">
        <f t="shared" si="1"/>
        <v>57</v>
      </c>
      <c r="AH6" s="46">
        <f t="shared" si="1"/>
        <v>70</v>
      </c>
      <c r="AI6" s="46">
        <f t="shared" si="1"/>
        <v>13</v>
      </c>
      <c r="AJ6" s="46">
        <f t="shared" si="1"/>
        <v>42</v>
      </c>
      <c r="AK6" s="46">
        <f t="shared" si="1"/>
        <v>53</v>
      </c>
      <c r="AL6" s="46">
        <f t="shared" si="1"/>
        <v>64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23</v>
      </c>
      <c r="I7" s="40">
        <f t="shared" si="0"/>
        <v>41</v>
      </c>
      <c r="J7" s="66">
        <f t="shared" si="0"/>
        <v>59</v>
      </c>
      <c r="K7" s="43">
        <f t="shared" si="0"/>
        <v>5</v>
      </c>
      <c r="L7" s="40">
        <f t="shared" si="0"/>
        <v>21</v>
      </c>
      <c r="M7" s="40">
        <f t="shared" si="0"/>
        <v>37</v>
      </c>
      <c r="N7" s="66">
        <f t="shared" si="0"/>
        <v>71</v>
      </c>
      <c r="O7" s="43">
        <f t="shared" si="0"/>
        <v>5</v>
      </c>
      <c r="P7" s="40">
        <f t="shared" si="0"/>
        <v>19</v>
      </c>
      <c r="Q7" s="40">
        <f t="shared" si="0"/>
        <v>51</v>
      </c>
      <c r="R7" s="66">
        <f t="shared" si="0"/>
        <v>65</v>
      </c>
      <c r="S7" s="43">
        <f t="shared" si="0"/>
        <v>5</v>
      </c>
      <c r="T7" s="40">
        <f t="shared" si="0"/>
        <v>35</v>
      </c>
      <c r="U7" s="40">
        <f t="shared" si="0"/>
        <v>47</v>
      </c>
      <c r="V7" s="66">
        <f t="shared" si="0"/>
        <v>59</v>
      </c>
      <c r="W7" s="46">
        <f t="shared" si="1"/>
        <v>14</v>
      </c>
      <c r="X7" s="46">
        <f t="shared" si="1"/>
        <v>31</v>
      </c>
      <c r="Y7" s="46">
        <f t="shared" si="1"/>
        <v>48</v>
      </c>
      <c r="Z7" s="46">
        <f t="shared" si="1"/>
        <v>65</v>
      </c>
      <c r="AA7" s="46">
        <f t="shared" si="1"/>
        <v>14</v>
      </c>
      <c r="AB7" s="46">
        <f t="shared" si="1"/>
        <v>29</v>
      </c>
      <c r="AC7" s="46">
        <f t="shared" si="1"/>
        <v>62</v>
      </c>
      <c r="AD7" s="46">
        <f t="shared" si="1"/>
        <v>5</v>
      </c>
      <c r="AE7" s="46">
        <f t="shared" si="1"/>
        <v>14</v>
      </c>
      <c r="AF7" s="46">
        <f t="shared" si="1"/>
        <v>45</v>
      </c>
      <c r="AG7" s="46">
        <f t="shared" si="1"/>
        <v>58</v>
      </c>
      <c r="AH7" s="46">
        <f t="shared" si="1"/>
        <v>71</v>
      </c>
      <c r="AI7" s="46">
        <f t="shared" si="1"/>
        <v>14</v>
      </c>
      <c r="AJ7" s="46">
        <f t="shared" si="1"/>
        <v>43</v>
      </c>
      <c r="AK7" s="46">
        <f t="shared" si="1"/>
        <v>54</v>
      </c>
      <c r="AL7" s="46">
        <f t="shared" si="1"/>
        <v>65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24</v>
      </c>
      <c r="I8" s="40">
        <f t="shared" si="0"/>
        <v>42</v>
      </c>
      <c r="J8" s="66">
        <f t="shared" si="0"/>
        <v>60</v>
      </c>
      <c r="K8" s="43">
        <f t="shared" si="0"/>
        <v>6</v>
      </c>
      <c r="L8" s="40">
        <f t="shared" si="0"/>
        <v>22</v>
      </c>
      <c r="M8" s="40">
        <f t="shared" si="0"/>
        <v>38</v>
      </c>
      <c r="N8" s="66">
        <f t="shared" si="0"/>
        <v>72</v>
      </c>
      <c r="O8" s="43">
        <f t="shared" si="0"/>
        <v>6</v>
      </c>
      <c r="P8" s="40">
        <f t="shared" si="0"/>
        <v>20</v>
      </c>
      <c r="Q8" s="40">
        <f t="shared" si="0"/>
        <v>52</v>
      </c>
      <c r="R8" s="66">
        <f t="shared" si="0"/>
        <v>66</v>
      </c>
      <c r="S8" s="43">
        <f t="shared" si="0"/>
        <v>6</v>
      </c>
      <c r="T8" s="40">
        <f t="shared" si="0"/>
        <v>36</v>
      </c>
      <c r="U8" s="40">
        <f t="shared" si="0"/>
        <v>48</v>
      </c>
      <c r="V8" s="66">
        <f t="shared" si="0"/>
        <v>60</v>
      </c>
      <c r="W8" s="46">
        <f t="shared" si="1"/>
        <v>15</v>
      </c>
      <c r="X8" s="46">
        <f t="shared" si="1"/>
        <v>32</v>
      </c>
      <c r="Y8" s="46">
        <f t="shared" si="1"/>
        <v>49</v>
      </c>
      <c r="Z8" s="46">
        <f t="shared" si="1"/>
        <v>66</v>
      </c>
      <c r="AA8" s="46">
        <f t="shared" si="1"/>
        <v>15</v>
      </c>
      <c r="AB8" s="46">
        <f t="shared" si="1"/>
        <v>30</v>
      </c>
      <c r="AC8" s="46">
        <f t="shared" si="1"/>
        <v>63</v>
      </c>
      <c r="AD8" s="46">
        <f t="shared" si="1"/>
        <v>6</v>
      </c>
      <c r="AE8" s="46">
        <f t="shared" si="1"/>
        <v>15</v>
      </c>
      <c r="AF8" s="46">
        <f t="shared" si="1"/>
        <v>28</v>
      </c>
      <c r="AG8" s="46">
        <f t="shared" si="1"/>
        <v>59</v>
      </c>
      <c r="AH8" s="46">
        <f t="shared" si="1"/>
        <v>72</v>
      </c>
      <c r="AI8" s="46">
        <f t="shared" si="1"/>
        <v>15</v>
      </c>
      <c r="AJ8" s="46">
        <f t="shared" si="1"/>
        <v>44</v>
      </c>
      <c r="AK8" s="46">
        <f t="shared" si="1"/>
        <v>55</v>
      </c>
      <c r="AL8" s="46">
        <f t="shared" si="1"/>
        <v>66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25</v>
      </c>
      <c r="I9" s="40">
        <f t="shared" si="0"/>
        <v>43</v>
      </c>
      <c r="J9" s="66">
        <f t="shared" si="0"/>
        <v>61</v>
      </c>
      <c r="K9" s="43">
        <f t="shared" si="0"/>
        <v>7</v>
      </c>
      <c r="L9" s="40">
        <f t="shared" si="0"/>
        <v>23</v>
      </c>
      <c r="M9" s="40">
        <f t="shared" si="0"/>
        <v>39</v>
      </c>
      <c r="N9" s="66">
        <f t="shared" si="0"/>
        <v>55</v>
      </c>
      <c r="O9" s="43">
        <f t="shared" si="0"/>
        <v>7</v>
      </c>
      <c r="P9" s="40">
        <f t="shared" si="0"/>
        <v>21</v>
      </c>
      <c r="Q9" s="40">
        <f t="shared" si="0"/>
        <v>53</v>
      </c>
      <c r="R9" s="66">
        <f t="shared" si="0"/>
        <v>67</v>
      </c>
      <c r="S9" s="43">
        <f t="shared" si="0"/>
        <v>7</v>
      </c>
      <c r="T9" s="40">
        <f t="shared" si="0"/>
        <v>19</v>
      </c>
      <c r="U9" s="40">
        <f t="shared" si="0"/>
        <v>49</v>
      </c>
      <c r="V9" s="66">
        <f t="shared" si="0"/>
        <v>61</v>
      </c>
      <c r="W9" s="46">
        <f t="shared" si="1"/>
        <v>16</v>
      </c>
      <c r="X9" s="46">
        <f t="shared" si="1"/>
        <v>33</v>
      </c>
      <c r="Y9" s="46">
        <f t="shared" si="1"/>
        <v>50</v>
      </c>
      <c r="Z9" s="46">
        <f t="shared" si="1"/>
        <v>67</v>
      </c>
      <c r="AA9" s="46">
        <f t="shared" si="1"/>
        <v>16</v>
      </c>
      <c r="AB9" s="46">
        <f t="shared" si="1"/>
        <v>31</v>
      </c>
      <c r="AC9" s="46">
        <f t="shared" si="1"/>
        <v>46</v>
      </c>
      <c r="AD9" s="46">
        <f t="shared" si="1"/>
        <v>7</v>
      </c>
      <c r="AE9" s="46">
        <f t="shared" si="1"/>
        <v>16</v>
      </c>
      <c r="AF9" s="46">
        <f t="shared" si="1"/>
        <v>29</v>
      </c>
      <c r="AG9" s="46">
        <f t="shared" si="1"/>
        <v>60</v>
      </c>
      <c r="AH9" s="46">
        <f t="shared" si="1"/>
        <v>1</v>
      </c>
      <c r="AI9" s="46">
        <f t="shared" si="1"/>
        <v>16</v>
      </c>
      <c r="AJ9" s="46">
        <f t="shared" si="1"/>
        <v>45</v>
      </c>
      <c r="AK9" s="46">
        <f t="shared" si="1"/>
        <v>56</v>
      </c>
      <c r="AL9" s="46">
        <f t="shared" si="1"/>
        <v>67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26</v>
      </c>
      <c r="I10" s="40">
        <f t="shared" si="0"/>
        <v>44</v>
      </c>
      <c r="J10" s="66">
        <f t="shared" si="0"/>
        <v>62</v>
      </c>
      <c r="K10" s="43">
        <f t="shared" si="0"/>
        <v>8</v>
      </c>
      <c r="L10" s="40">
        <f t="shared" si="0"/>
        <v>24</v>
      </c>
      <c r="M10" s="40">
        <f t="shared" si="0"/>
        <v>40</v>
      </c>
      <c r="N10" s="66">
        <f t="shared" si="0"/>
        <v>56</v>
      </c>
      <c r="O10" s="43">
        <f t="shared" si="0"/>
        <v>8</v>
      </c>
      <c r="P10" s="40">
        <f t="shared" si="0"/>
        <v>22</v>
      </c>
      <c r="Q10" s="40">
        <f t="shared" si="0"/>
        <v>54</v>
      </c>
      <c r="R10" s="66">
        <f t="shared" si="0"/>
        <v>68</v>
      </c>
      <c r="S10" s="43">
        <f t="shared" si="0"/>
        <v>8</v>
      </c>
      <c r="T10" s="40">
        <f t="shared" si="0"/>
        <v>20</v>
      </c>
      <c r="U10" s="40">
        <f t="shared" si="0"/>
        <v>50</v>
      </c>
      <c r="V10" s="66">
        <f t="shared" si="0"/>
        <v>62</v>
      </c>
      <c r="W10" s="46">
        <f t="shared" si="1"/>
        <v>17</v>
      </c>
      <c r="X10" s="46">
        <f t="shared" si="1"/>
        <v>34</v>
      </c>
      <c r="Y10" s="46">
        <f t="shared" si="1"/>
        <v>51</v>
      </c>
      <c r="Z10" s="46">
        <f t="shared" si="1"/>
        <v>68</v>
      </c>
      <c r="AA10" s="46">
        <f t="shared" si="1"/>
        <v>17</v>
      </c>
      <c r="AB10" s="46">
        <f t="shared" si="1"/>
        <v>32</v>
      </c>
      <c r="AC10" s="46">
        <f t="shared" si="1"/>
        <v>47</v>
      </c>
      <c r="AD10" s="46">
        <f t="shared" si="1"/>
        <v>8</v>
      </c>
      <c r="AE10" s="46">
        <f t="shared" si="1"/>
        <v>17</v>
      </c>
      <c r="AF10" s="46">
        <f t="shared" si="1"/>
        <v>30</v>
      </c>
      <c r="AG10" s="46">
        <f t="shared" si="1"/>
        <v>61</v>
      </c>
      <c r="AH10" s="46">
        <f t="shared" si="1"/>
        <v>2</v>
      </c>
      <c r="AI10" s="46">
        <f t="shared" si="1"/>
        <v>17</v>
      </c>
      <c r="AJ10" s="46">
        <f t="shared" si="1"/>
        <v>28</v>
      </c>
      <c r="AK10" s="46">
        <f t="shared" si="1"/>
        <v>57</v>
      </c>
      <c r="AL10" s="46">
        <f t="shared" si="1"/>
        <v>68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27</v>
      </c>
      <c r="I11" s="40">
        <f t="shared" si="0"/>
        <v>45</v>
      </c>
      <c r="J11" s="66">
        <f t="shared" si="0"/>
        <v>63</v>
      </c>
      <c r="K11" s="43">
        <f t="shared" si="0"/>
        <v>9</v>
      </c>
      <c r="L11" s="40">
        <f t="shared" si="0"/>
        <v>25</v>
      </c>
      <c r="M11" s="40">
        <f t="shared" si="0"/>
        <v>41</v>
      </c>
      <c r="N11" s="66">
        <f t="shared" si="0"/>
        <v>57</v>
      </c>
      <c r="O11" s="43">
        <f t="shared" si="0"/>
        <v>9</v>
      </c>
      <c r="P11" s="40">
        <f t="shared" si="0"/>
        <v>23</v>
      </c>
      <c r="Q11" s="40">
        <f t="shared" si="0"/>
        <v>37</v>
      </c>
      <c r="R11" s="66">
        <f t="shared" si="0"/>
        <v>69</v>
      </c>
      <c r="S11" s="43">
        <f t="shared" si="0"/>
        <v>9</v>
      </c>
      <c r="T11" s="40">
        <f t="shared" si="0"/>
        <v>21</v>
      </c>
      <c r="U11" s="40">
        <f t="shared" si="0"/>
        <v>51</v>
      </c>
      <c r="V11" s="66">
        <f t="shared" si="0"/>
        <v>63</v>
      </c>
      <c r="W11" s="46">
        <f t="shared" si="1"/>
        <v>18</v>
      </c>
      <c r="X11" s="46">
        <f t="shared" si="1"/>
        <v>35</v>
      </c>
      <c r="Y11" s="46">
        <f t="shared" si="1"/>
        <v>52</v>
      </c>
      <c r="Z11" s="46">
        <f t="shared" si="1"/>
        <v>69</v>
      </c>
      <c r="AA11" s="46">
        <f t="shared" si="1"/>
        <v>18</v>
      </c>
      <c r="AB11" s="46">
        <f t="shared" si="1"/>
        <v>33</v>
      </c>
      <c r="AC11" s="46">
        <f t="shared" si="1"/>
        <v>48</v>
      </c>
      <c r="AD11" s="46">
        <f t="shared" si="1"/>
        <v>9</v>
      </c>
      <c r="AE11" s="46">
        <f t="shared" si="1"/>
        <v>18</v>
      </c>
      <c r="AF11" s="46">
        <f t="shared" si="1"/>
        <v>31</v>
      </c>
      <c r="AG11" s="46">
        <f t="shared" si="1"/>
        <v>62</v>
      </c>
      <c r="AH11" s="46">
        <f t="shared" si="1"/>
        <v>3</v>
      </c>
      <c r="AI11" s="46">
        <f t="shared" si="1"/>
        <v>18</v>
      </c>
      <c r="AJ11" s="46">
        <f t="shared" si="1"/>
        <v>29</v>
      </c>
      <c r="AK11" s="46">
        <f t="shared" si="1"/>
        <v>58</v>
      </c>
      <c r="AL11" s="46">
        <f t="shared" si="1"/>
        <v>69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28</v>
      </c>
      <c r="I12" s="40">
        <f t="shared" si="0"/>
        <v>46</v>
      </c>
      <c r="J12" s="66">
        <f t="shared" si="0"/>
        <v>64</v>
      </c>
      <c r="K12" s="43">
        <f t="shared" si="0"/>
        <v>10</v>
      </c>
      <c r="L12" s="40">
        <f t="shared" si="0"/>
        <v>26</v>
      </c>
      <c r="M12" s="40">
        <f t="shared" si="0"/>
        <v>42</v>
      </c>
      <c r="N12" s="66">
        <f t="shared" si="0"/>
        <v>58</v>
      </c>
      <c r="O12" s="43">
        <f t="shared" si="0"/>
        <v>10</v>
      </c>
      <c r="P12" s="40">
        <f t="shared" si="0"/>
        <v>24</v>
      </c>
      <c r="Q12" s="40">
        <f t="shared" si="0"/>
        <v>38</v>
      </c>
      <c r="R12" s="66">
        <f t="shared" si="0"/>
        <v>70</v>
      </c>
      <c r="S12" s="43">
        <f t="shared" si="0"/>
        <v>10</v>
      </c>
      <c r="T12" s="40">
        <f t="shared" si="0"/>
        <v>22</v>
      </c>
      <c r="U12" s="40">
        <f t="shared" si="0"/>
        <v>52</v>
      </c>
      <c r="V12" s="66">
        <f t="shared" si="0"/>
        <v>64</v>
      </c>
      <c r="W12" s="46">
        <f t="shared" si="1"/>
        <v>19</v>
      </c>
      <c r="X12" s="46">
        <f t="shared" si="1"/>
        <v>36</v>
      </c>
      <c r="Y12" s="46">
        <f t="shared" si="1"/>
        <v>53</v>
      </c>
      <c r="Z12" s="46">
        <f t="shared" si="1"/>
        <v>70</v>
      </c>
      <c r="AA12" s="46">
        <f t="shared" si="1"/>
        <v>19</v>
      </c>
      <c r="AB12" s="46">
        <f t="shared" si="1"/>
        <v>34</v>
      </c>
      <c r="AC12" s="46">
        <f t="shared" si="1"/>
        <v>49</v>
      </c>
      <c r="AD12" s="46">
        <f t="shared" si="1"/>
        <v>64</v>
      </c>
      <c r="AE12" s="46">
        <f t="shared" si="1"/>
        <v>19</v>
      </c>
      <c r="AF12" s="46">
        <f t="shared" si="1"/>
        <v>32</v>
      </c>
      <c r="AG12" s="46">
        <f t="shared" si="1"/>
        <v>63</v>
      </c>
      <c r="AH12" s="46">
        <f t="shared" si="1"/>
        <v>4</v>
      </c>
      <c r="AI12" s="46">
        <f t="shared" si="1"/>
        <v>19</v>
      </c>
      <c r="AJ12" s="46">
        <f t="shared" si="1"/>
        <v>30</v>
      </c>
      <c r="AK12" s="46">
        <f t="shared" si="1"/>
        <v>59</v>
      </c>
      <c r="AL12" s="46">
        <f t="shared" si="1"/>
        <v>70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29</v>
      </c>
      <c r="I13" s="40">
        <f t="shared" si="0"/>
        <v>47</v>
      </c>
      <c r="J13" s="66">
        <f t="shared" si="0"/>
        <v>65</v>
      </c>
      <c r="K13" s="43">
        <f t="shared" si="0"/>
        <v>11</v>
      </c>
      <c r="L13" s="40">
        <f t="shared" si="0"/>
        <v>27</v>
      </c>
      <c r="M13" s="40">
        <f t="shared" si="0"/>
        <v>43</v>
      </c>
      <c r="N13" s="66">
        <f t="shared" si="0"/>
        <v>59</v>
      </c>
      <c r="O13" s="43">
        <f t="shared" si="0"/>
        <v>11</v>
      </c>
      <c r="P13" s="40">
        <f t="shared" si="0"/>
        <v>25</v>
      </c>
      <c r="Q13" s="40">
        <f t="shared" si="0"/>
        <v>39</v>
      </c>
      <c r="R13" s="66">
        <f t="shared" si="0"/>
        <v>71</v>
      </c>
      <c r="S13" s="43">
        <f t="shared" si="0"/>
        <v>11</v>
      </c>
      <c r="T13" s="40">
        <f t="shared" si="0"/>
        <v>23</v>
      </c>
      <c r="U13" s="40">
        <f t="shared" si="0"/>
        <v>53</v>
      </c>
      <c r="V13" s="66">
        <f t="shared" si="0"/>
        <v>65</v>
      </c>
      <c r="W13" s="46">
        <f t="shared" si="1"/>
        <v>20</v>
      </c>
      <c r="X13" s="46">
        <f t="shared" si="1"/>
        <v>37</v>
      </c>
      <c r="Y13" s="46">
        <f t="shared" si="1"/>
        <v>54</v>
      </c>
      <c r="Z13" s="46">
        <f t="shared" si="1"/>
        <v>71</v>
      </c>
      <c r="AA13" s="46">
        <f t="shared" si="1"/>
        <v>20</v>
      </c>
      <c r="AB13" s="46">
        <f t="shared" si="1"/>
        <v>35</v>
      </c>
      <c r="AC13" s="46">
        <f t="shared" si="1"/>
        <v>50</v>
      </c>
      <c r="AD13" s="46">
        <f t="shared" si="1"/>
        <v>65</v>
      </c>
      <c r="AE13" s="46">
        <f t="shared" si="1"/>
        <v>20</v>
      </c>
      <c r="AF13" s="46">
        <f t="shared" si="1"/>
        <v>33</v>
      </c>
      <c r="AG13" s="46">
        <f t="shared" si="1"/>
        <v>46</v>
      </c>
      <c r="AH13" s="46">
        <f t="shared" si="1"/>
        <v>5</v>
      </c>
      <c r="AI13" s="46">
        <f t="shared" si="1"/>
        <v>20</v>
      </c>
      <c r="AJ13" s="46">
        <f t="shared" si="1"/>
        <v>31</v>
      </c>
      <c r="AK13" s="46">
        <f t="shared" si="1"/>
        <v>60</v>
      </c>
      <c r="AL13" s="46">
        <f t="shared" si="1"/>
        <v>71</v>
      </c>
    </row>
    <row r="14" spans="1:38" x14ac:dyDescent="0.35">
      <c r="A14" s="18">
        <v>11</v>
      </c>
      <c r="B14" s="19" t="s">
        <v>18</v>
      </c>
      <c r="D14">
        <f>$B$2/$C$2-$E$2/2+1</f>
        <v>13</v>
      </c>
      <c r="E14">
        <f>$B$2/$C$2+$E$2/2</f>
        <v>24</v>
      </c>
      <c r="G14" s="43">
        <f t="shared" si="0"/>
        <v>12</v>
      </c>
      <c r="H14" s="40">
        <f t="shared" si="0"/>
        <v>30</v>
      </c>
      <c r="I14" s="40">
        <f t="shared" si="0"/>
        <v>48</v>
      </c>
      <c r="J14" s="66">
        <f t="shared" si="0"/>
        <v>66</v>
      </c>
      <c r="K14" s="43">
        <f t="shared" si="0"/>
        <v>12</v>
      </c>
      <c r="L14" s="40">
        <f t="shared" si="0"/>
        <v>28</v>
      </c>
      <c r="M14" s="40">
        <f t="shared" si="0"/>
        <v>44</v>
      </c>
      <c r="N14" s="66">
        <f t="shared" si="0"/>
        <v>60</v>
      </c>
      <c r="O14" s="43">
        <f t="shared" si="0"/>
        <v>12</v>
      </c>
      <c r="P14" s="40">
        <f t="shared" si="0"/>
        <v>26</v>
      </c>
      <c r="Q14" s="40">
        <f t="shared" si="0"/>
        <v>40</v>
      </c>
      <c r="R14" s="66">
        <f t="shared" si="0"/>
        <v>72</v>
      </c>
      <c r="S14" s="43">
        <f t="shared" si="0"/>
        <v>12</v>
      </c>
      <c r="T14" s="40">
        <f t="shared" si="0"/>
        <v>24</v>
      </c>
      <c r="U14" s="40">
        <f t="shared" si="0"/>
        <v>54</v>
      </c>
      <c r="V14" s="66">
        <f t="shared" si="0"/>
        <v>66</v>
      </c>
      <c r="W14" s="46">
        <f t="shared" si="1"/>
        <v>21</v>
      </c>
      <c r="X14" s="46">
        <f t="shared" si="1"/>
        <v>38</v>
      </c>
      <c r="Y14" s="46">
        <f t="shared" si="1"/>
        <v>55</v>
      </c>
      <c r="Z14" s="46">
        <f t="shared" si="1"/>
        <v>72</v>
      </c>
      <c r="AA14" s="46">
        <f t="shared" si="1"/>
        <v>21</v>
      </c>
      <c r="AB14" s="46">
        <f t="shared" si="1"/>
        <v>36</v>
      </c>
      <c r="AC14" s="46">
        <f t="shared" si="1"/>
        <v>51</v>
      </c>
      <c r="AD14" s="46">
        <f t="shared" si="1"/>
        <v>66</v>
      </c>
      <c r="AE14" s="46">
        <f t="shared" si="1"/>
        <v>21</v>
      </c>
      <c r="AF14" s="46">
        <f t="shared" si="1"/>
        <v>34</v>
      </c>
      <c r="AG14" s="46">
        <f t="shared" si="1"/>
        <v>47</v>
      </c>
      <c r="AH14" s="46">
        <f t="shared" si="1"/>
        <v>6</v>
      </c>
      <c r="AI14" s="46">
        <f t="shared" si="1"/>
        <v>21</v>
      </c>
      <c r="AJ14" s="46">
        <f t="shared" si="1"/>
        <v>32</v>
      </c>
      <c r="AK14" s="46">
        <f t="shared" si="1"/>
        <v>61</v>
      </c>
      <c r="AL14" s="46">
        <f t="shared" si="1"/>
        <v>72</v>
      </c>
    </row>
    <row r="15" spans="1:38" x14ac:dyDescent="0.35">
      <c r="A15" s="18">
        <v>12</v>
      </c>
      <c r="B15" s="19" t="s">
        <v>18</v>
      </c>
      <c r="D15">
        <f>2*$B$2/$C$2-$E$2/2+1</f>
        <v>31</v>
      </c>
      <c r="E15">
        <f>2*$B$2/$C$2+$E$2/2</f>
        <v>42</v>
      </c>
      <c r="G15" s="43">
        <f t="shared" si="0"/>
        <v>13</v>
      </c>
      <c r="H15" s="40">
        <f t="shared" si="0"/>
        <v>31</v>
      </c>
      <c r="I15" s="40">
        <f t="shared" si="0"/>
        <v>49</v>
      </c>
      <c r="J15" s="66">
        <f t="shared" si="0"/>
        <v>67</v>
      </c>
      <c r="K15" s="43">
        <f t="shared" si="0"/>
        <v>13</v>
      </c>
      <c r="L15" s="40">
        <f t="shared" si="0"/>
        <v>29</v>
      </c>
      <c r="M15" s="40">
        <f t="shared" si="0"/>
        <v>45</v>
      </c>
      <c r="N15" s="66">
        <f t="shared" si="0"/>
        <v>61</v>
      </c>
      <c r="O15" s="43">
        <f t="shared" si="0"/>
        <v>13</v>
      </c>
      <c r="P15" s="40">
        <f t="shared" si="0"/>
        <v>27</v>
      </c>
      <c r="Q15" s="40">
        <f t="shared" si="0"/>
        <v>41</v>
      </c>
      <c r="R15" s="66">
        <f t="shared" si="0"/>
        <v>55</v>
      </c>
      <c r="S15" s="43">
        <f t="shared" si="0"/>
        <v>13</v>
      </c>
      <c r="T15" s="40">
        <f t="shared" si="0"/>
        <v>25</v>
      </c>
      <c r="U15" s="40">
        <f t="shared" si="0"/>
        <v>37</v>
      </c>
      <c r="V15" s="66">
        <f t="shared" si="0"/>
        <v>67</v>
      </c>
      <c r="W15" s="46">
        <f t="shared" si="1"/>
        <v>22</v>
      </c>
      <c r="X15" s="46">
        <f t="shared" si="1"/>
        <v>39</v>
      </c>
      <c r="Y15" s="46">
        <f t="shared" si="1"/>
        <v>56</v>
      </c>
      <c r="Z15" s="46">
        <f t="shared" si="1"/>
        <v>1</v>
      </c>
      <c r="AA15" s="46">
        <f t="shared" si="1"/>
        <v>22</v>
      </c>
      <c r="AB15" s="46">
        <f t="shared" si="1"/>
        <v>37</v>
      </c>
      <c r="AC15" s="46">
        <f t="shared" si="1"/>
        <v>52</v>
      </c>
      <c r="AD15" s="46">
        <f t="shared" si="1"/>
        <v>67</v>
      </c>
      <c r="AE15" s="46">
        <f t="shared" si="1"/>
        <v>22</v>
      </c>
      <c r="AF15" s="46">
        <f t="shared" si="1"/>
        <v>35</v>
      </c>
      <c r="AG15" s="46">
        <f t="shared" si="1"/>
        <v>48</v>
      </c>
      <c r="AH15" s="46">
        <f t="shared" si="1"/>
        <v>7</v>
      </c>
      <c r="AI15" s="46">
        <f t="shared" si="1"/>
        <v>22</v>
      </c>
      <c r="AJ15" s="46">
        <f t="shared" si="1"/>
        <v>33</v>
      </c>
      <c r="AK15" s="46">
        <f t="shared" si="1"/>
        <v>62</v>
      </c>
      <c r="AL15" s="46">
        <f t="shared" si="1"/>
        <v>1</v>
      </c>
    </row>
    <row r="16" spans="1:38" x14ac:dyDescent="0.35">
      <c r="A16" s="18">
        <v>13</v>
      </c>
      <c r="B16" s="19" t="s">
        <v>18</v>
      </c>
      <c r="D16">
        <f>3*$B$2/$C$2-$E$2/2+1</f>
        <v>49</v>
      </c>
      <c r="E16">
        <f>3*$B$2/$C$2+$E$2/2</f>
        <v>60</v>
      </c>
      <c r="G16" s="43">
        <f t="shared" si="0"/>
        <v>14</v>
      </c>
      <c r="H16" s="40">
        <f t="shared" si="0"/>
        <v>32</v>
      </c>
      <c r="I16" s="40">
        <f t="shared" si="0"/>
        <v>50</v>
      </c>
      <c r="J16" s="66">
        <f t="shared" si="0"/>
        <v>68</v>
      </c>
      <c r="K16" s="43">
        <f t="shared" si="0"/>
        <v>14</v>
      </c>
      <c r="L16" s="40">
        <f t="shared" si="0"/>
        <v>30</v>
      </c>
      <c r="M16" s="40">
        <f t="shared" si="0"/>
        <v>46</v>
      </c>
      <c r="N16" s="66">
        <f t="shared" si="0"/>
        <v>62</v>
      </c>
      <c r="O16" s="43">
        <f t="shared" si="0"/>
        <v>14</v>
      </c>
      <c r="P16" s="40">
        <f t="shared" si="0"/>
        <v>28</v>
      </c>
      <c r="Q16" s="40">
        <f t="shared" si="0"/>
        <v>42</v>
      </c>
      <c r="R16" s="66">
        <f t="shared" si="0"/>
        <v>56</v>
      </c>
      <c r="S16" s="43">
        <f t="shared" si="0"/>
        <v>14</v>
      </c>
      <c r="T16" s="40">
        <f t="shared" si="0"/>
        <v>26</v>
      </c>
      <c r="U16" s="40">
        <f t="shared" si="0"/>
        <v>38</v>
      </c>
      <c r="V16" s="66">
        <f t="shared" si="0"/>
        <v>68</v>
      </c>
      <c r="W16" s="46">
        <f t="shared" si="1"/>
        <v>23</v>
      </c>
      <c r="X16" s="46">
        <f t="shared" si="1"/>
        <v>40</v>
      </c>
      <c r="Y16" s="46">
        <f t="shared" si="1"/>
        <v>57</v>
      </c>
      <c r="Z16" s="46">
        <f t="shared" si="1"/>
        <v>2</v>
      </c>
      <c r="AA16" s="46">
        <f t="shared" si="1"/>
        <v>23</v>
      </c>
      <c r="AB16" s="46">
        <f t="shared" si="1"/>
        <v>38</v>
      </c>
      <c r="AC16" s="46">
        <f t="shared" si="1"/>
        <v>53</v>
      </c>
      <c r="AD16" s="46">
        <f t="shared" si="1"/>
        <v>68</v>
      </c>
      <c r="AE16" s="46">
        <f t="shared" si="1"/>
        <v>23</v>
      </c>
      <c r="AF16" s="46">
        <f t="shared" si="1"/>
        <v>36</v>
      </c>
      <c r="AG16" s="46">
        <f t="shared" si="1"/>
        <v>49</v>
      </c>
      <c r="AH16" s="46">
        <f t="shared" si="1"/>
        <v>8</v>
      </c>
      <c r="AI16" s="46">
        <f t="shared" si="1"/>
        <v>23</v>
      </c>
      <c r="AJ16" s="46">
        <f t="shared" si="1"/>
        <v>34</v>
      </c>
      <c r="AK16" s="46">
        <f t="shared" si="1"/>
        <v>63</v>
      </c>
      <c r="AL16" s="46">
        <f t="shared" si="1"/>
        <v>2</v>
      </c>
    </row>
    <row r="17" spans="1:38" x14ac:dyDescent="0.35">
      <c r="A17" s="3">
        <v>14</v>
      </c>
      <c r="B17" s="22" t="s">
        <v>19</v>
      </c>
      <c r="D17">
        <f>$B$2-2</f>
        <v>70</v>
      </c>
      <c r="E17">
        <f>$B$2</f>
        <v>72</v>
      </c>
      <c r="G17" s="43">
        <f t="shared" si="0"/>
        <v>15</v>
      </c>
      <c r="H17" s="40">
        <f t="shared" si="0"/>
        <v>33</v>
      </c>
      <c r="I17" s="40">
        <f t="shared" si="0"/>
        <v>51</v>
      </c>
      <c r="J17" s="66">
        <f t="shared" si="0"/>
        <v>69</v>
      </c>
      <c r="K17" s="43">
        <f t="shared" si="0"/>
        <v>15</v>
      </c>
      <c r="L17" s="40">
        <f t="shared" si="0"/>
        <v>31</v>
      </c>
      <c r="M17" s="40">
        <f t="shared" si="0"/>
        <v>47</v>
      </c>
      <c r="N17" s="66">
        <f t="shared" si="0"/>
        <v>63</v>
      </c>
      <c r="O17" s="43">
        <f t="shared" si="0"/>
        <v>15</v>
      </c>
      <c r="P17" s="40">
        <f t="shared" si="0"/>
        <v>29</v>
      </c>
      <c r="Q17" s="40">
        <f t="shared" si="0"/>
        <v>43</v>
      </c>
      <c r="R17" s="66">
        <f t="shared" si="0"/>
        <v>57</v>
      </c>
      <c r="S17" s="43">
        <f t="shared" si="0"/>
        <v>15</v>
      </c>
      <c r="T17" s="40">
        <f t="shared" si="0"/>
        <v>27</v>
      </c>
      <c r="U17" s="40">
        <f t="shared" si="0"/>
        <v>39</v>
      </c>
      <c r="V17" s="66">
        <f t="shared" si="0"/>
        <v>69</v>
      </c>
      <c r="W17" s="46">
        <f t="shared" si="1"/>
        <v>24</v>
      </c>
      <c r="X17" s="46">
        <f t="shared" si="1"/>
        <v>41</v>
      </c>
      <c r="Y17" s="46">
        <f t="shared" si="1"/>
        <v>58</v>
      </c>
      <c r="Z17" s="46">
        <f t="shared" si="1"/>
        <v>3</v>
      </c>
      <c r="AA17" s="46">
        <f t="shared" si="1"/>
        <v>24</v>
      </c>
      <c r="AB17" s="46">
        <f t="shared" si="1"/>
        <v>39</v>
      </c>
      <c r="AC17" s="46">
        <f t="shared" si="1"/>
        <v>54</v>
      </c>
      <c r="AD17" s="46">
        <f t="shared" si="1"/>
        <v>69</v>
      </c>
      <c r="AE17" s="46">
        <f t="shared" si="1"/>
        <v>24</v>
      </c>
      <c r="AF17" s="46">
        <f t="shared" si="1"/>
        <v>37</v>
      </c>
      <c r="AG17" s="46">
        <f t="shared" si="1"/>
        <v>50</v>
      </c>
      <c r="AH17" s="46">
        <f t="shared" si="1"/>
        <v>9</v>
      </c>
      <c r="AI17" s="46">
        <f t="shared" si="1"/>
        <v>24</v>
      </c>
      <c r="AJ17" s="46">
        <f t="shared" si="1"/>
        <v>35</v>
      </c>
      <c r="AK17" s="46">
        <f t="shared" si="1"/>
        <v>46</v>
      </c>
      <c r="AL17" s="46">
        <f t="shared" si="1"/>
        <v>3</v>
      </c>
    </row>
    <row r="18" spans="1:38" x14ac:dyDescent="0.35">
      <c r="A18" s="3">
        <v>15</v>
      </c>
      <c r="B18" s="22" t="s">
        <v>19</v>
      </c>
      <c r="G18" s="43">
        <f t="shared" si="0"/>
        <v>16</v>
      </c>
      <c r="H18" s="40">
        <f t="shared" si="0"/>
        <v>34</v>
      </c>
      <c r="I18" s="40">
        <f t="shared" si="0"/>
        <v>52</v>
      </c>
      <c r="J18" s="66">
        <f t="shared" si="0"/>
        <v>70</v>
      </c>
      <c r="K18" s="43">
        <f t="shared" si="0"/>
        <v>16</v>
      </c>
      <c r="L18" s="40">
        <f t="shared" si="0"/>
        <v>32</v>
      </c>
      <c r="M18" s="40">
        <f t="shared" si="0"/>
        <v>48</v>
      </c>
      <c r="N18" s="66">
        <f t="shared" si="0"/>
        <v>64</v>
      </c>
      <c r="O18" s="43">
        <f t="shared" si="0"/>
        <v>16</v>
      </c>
      <c r="P18" s="40">
        <f t="shared" si="0"/>
        <v>30</v>
      </c>
      <c r="Q18" s="40">
        <f t="shared" si="0"/>
        <v>44</v>
      </c>
      <c r="R18" s="66">
        <f t="shared" si="0"/>
        <v>58</v>
      </c>
      <c r="S18" s="43">
        <f t="shared" si="0"/>
        <v>16</v>
      </c>
      <c r="T18" s="40">
        <f t="shared" si="0"/>
        <v>28</v>
      </c>
      <c r="U18" s="40">
        <f t="shared" si="0"/>
        <v>40</v>
      </c>
      <c r="V18" s="66">
        <f t="shared" ref="V18:V20" si="2">MOD($A18-V$1*V$2,$B$2/4)+V$2*$B$2/4+1</f>
        <v>70</v>
      </c>
      <c r="W18" s="46">
        <f t="shared" si="1"/>
        <v>25</v>
      </c>
      <c r="X18" s="46">
        <f t="shared" si="1"/>
        <v>42</v>
      </c>
      <c r="Y18" s="46">
        <f t="shared" si="1"/>
        <v>59</v>
      </c>
      <c r="Z18" s="46">
        <f t="shared" si="1"/>
        <v>4</v>
      </c>
      <c r="AA18" s="46">
        <f t="shared" si="1"/>
        <v>25</v>
      </c>
      <c r="AB18" s="46">
        <f t="shared" si="1"/>
        <v>40</v>
      </c>
      <c r="AC18" s="46">
        <f t="shared" si="1"/>
        <v>55</v>
      </c>
      <c r="AD18" s="46">
        <f t="shared" si="1"/>
        <v>70</v>
      </c>
      <c r="AE18" s="46">
        <f t="shared" si="1"/>
        <v>25</v>
      </c>
      <c r="AF18" s="46">
        <f t="shared" si="1"/>
        <v>38</v>
      </c>
      <c r="AG18" s="46">
        <f t="shared" si="1"/>
        <v>51</v>
      </c>
      <c r="AH18" s="46">
        <f t="shared" si="1"/>
        <v>64</v>
      </c>
      <c r="AI18" s="46">
        <f t="shared" si="1"/>
        <v>25</v>
      </c>
      <c r="AJ18" s="46">
        <f t="shared" si="1"/>
        <v>36</v>
      </c>
      <c r="AK18" s="46">
        <f t="shared" si="1"/>
        <v>47</v>
      </c>
      <c r="AL18" s="46">
        <f t="shared" ref="AL18:AL20" si="3">MOD(MOD($A18-AL$1*AL$2,$B$2/4)+AL$2*$B$2/4+ROUND($B$2/8,0),$B$2)+1</f>
        <v>4</v>
      </c>
    </row>
    <row r="19" spans="1:38" x14ac:dyDescent="0.35">
      <c r="A19" s="3">
        <v>16</v>
      </c>
      <c r="B19" s="22" t="s">
        <v>19</v>
      </c>
      <c r="D19">
        <f>$B$2/$C$2-$E$2/2+$B$2/8+1</f>
        <v>22</v>
      </c>
      <c r="E19">
        <f>ROUND($B$2/$C$2+$E$2/2+$B$2/8,0)</f>
        <v>33</v>
      </c>
      <c r="G19" s="43">
        <f t="shared" ref="G19:U20" si="4">MOD($A19-G$1*G$2,$B$2/4)+G$2*$B$2/4+1</f>
        <v>17</v>
      </c>
      <c r="H19" s="40">
        <f t="shared" si="4"/>
        <v>35</v>
      </c>
      <c r="I19" s="40">
        <f t="shared" si="4"/>
        <v>53</v>
      </c>
      <c r="J19" s="66">
        <f t="shared" si="4"/>
        <v>71</v>
      </c>
      <c r="K19" s="43">
        <f t="shared" si="4"/>
        <v>17</v>
      </c>
      <c r="L19" s="40">
        <f t="shared" si="4"/>
        <v>33</v>
      </c>
      <c r="M19" s="40">
        <f t="shared" si="4"/>
        <v>49</v>
      </c>
      <c r="N19" s="66">
        <f t="shared" si="4"/>
        <v>65</v>
      </c>
      <c r="O19" s="43">
        <f t="shared" si="4"/>
        <v>17</v>
      </c>
      <c r="P19" s="40">
        <f t="shared" si="4"/>
        <v>31</v>
      </c>
      <c r="Q19" s="40">
        <f t="shared" si="4"/>
        <v>45</v>
      </c>
      <c r="R19" s="66">
        <f t="shared" si="4"/>
        <v>59</v>
      </c>
      <c r="S19" s="43">
        <f t="shared" si="4"/>
        <v>17</v>
      </c>
      <c r="T19" s="40">
        <f t="shared" si="4"/>
        <v>29</v>
      </c>
      <c r="U19" s="40">
        <f t="shared" si="4"/>
        <v>41</v>
      </c>
      <c r="V19" s="66">
        <f t="shared" si="2"/>
        <v>71</v>
      </c>
      <c r="W19" s="46">
        <f t="shared" ref="W19:AK20" si="5">MOD(MOD($A19-W$1*W$2,$B$2/4)+W$2*$B$2/4+ROUND($B$2/8,0),$B$2)+1</f>
        <v>26</v>
      </c>
      <c r="X19" s="46">
        <f t="shared" si="5"/>
        <v>43</v>
      </c>
      <c r="Y19" s="46">
        <f t="shared" si="5"/>
        <v>60</v>
      </c>
      <c r="Z19" s="46">
        <f t="shared" si="5"/>
        <v>5</v>
      </c>
      <c r="AA19" s="46">
        <f t="shared" si="5"/>
        <v>26</v>
      </c>
      <c r="AB19" s="46">
        <f t="shared" si="5"/>
        <v>41</v>
      </c>
      <c r="AC19" s="46">
        <f t="shared" si="5"/>
        <v>56</v>
      </c>
      <c r="AD19" s="46">
        <f t="shared" si="5"/>
        <v>71</v>
      </c>
      <c r="AE19" s="46">
        <f t="shared" si="5"/>
        <v>26</v>
      </c>
      <c r="AF19" s="46">
        <f t="shared" si="5"/>
        <v>39</v>
      </c>
      <c r="AG19" s="46">
        <f t="shared" si="5"/>
        <v>52</v>
      </c>
      <c r="AH19" s="46">
        <f t="shared" si="5"/>
        <v>65</v>
      </c>
      <c r="AI19" s="46">
        <f t="shared" si="5"/>
        <v>26</v>
      </c>
      <c r="AJ19" s="46">
        <f t="shared" si="5"/>
        <v>37</v>
      </c>
      <c r="AK19" s="46">
        <f t="shared" si="5"/>
        <v>48</v>
      </c>
      <c r="AL19" s="46">
        <f t="shared" si="3"/>
        <v>5</v>
      </c>
    </row>
    <row r="20" spans="1:38" x14ac:dyDescent="0.35">
      <c r="A20" s="3">
        <v>17</v>
      </c>
      <c r="B20" s="22" t="s">
        <v>19</v>
      </c>
      <c r="D20">
        <f>2*$B$2/$C$2-$E$2/2+$B$2/8+1</f>
        <v>40</v>
      </c>
      <c r="E20">
        <f>ROUND(2*$B$2/$C$2+$E$2/2+$B$2/8,0)</f>
        <v>51</v>
      </c>
      <c r="G20" s="43">
        <f t="shared" si="4"/>
        <v>18</v>
      </c>
      <c r="H20" s="40">
        <f t="shared" si="4"/>
        <v>36</v>
      </c>
      <c r="I20" s="40">
        <f t="shared" si="4"/>
        <v>54</v>
      </c>
      <c r="J20" s="66">
        <f t="shared" si="4"/>
        <v>72</v>
      </c>
      <c r="K20" s="43">
        <f t="shared" si="4"/>
        <v>18</v>
      </c>
      <c r="L20" s="40">
        <f t="shared" si="4"/>
        <v>34</v>
      </c>
      <c r="M20" s="40">
        <f t="shared" si="4"/>
        <v>50</v>
      </c>
      <c r="N20" s="66">
        <f t="shared" si="4"/>
        <v>66</v>
      </c>
      <c r="O20" s="43">
        <f t="shared" si="4"/>
        <v>18</v>
      </c>
      <c r="P20" s="40">
        <f t="shared" si="4"/>
        <v>32</v>
      </c>
      <c r="Q20" s="40">
        <f t="shared" si="4"/>
        <v>46</v>
      </c>
      <c r="R20" s="66">
        <f t="shared" si="4"/>
        <v>60</v>
      </c>
      <c r="S20" s="43">
        <f t="shared" si="4"/>
        <v>18</v>
      </c>
      <c r="T20" s="40">
        <f t="shared" si="4"/>
        <v>30</v>
      </c>
      <c r="U20" s="40">
        <f t="shared" si="4"/>
        <v>42</v>
      </c>
      <c r="V20" s="66">
        <f t="shared" si="2"/>
        <v>72</v>
      </c>
      <c r="W20" s="46">
        <f t="shared" si="5"/>
        <v>27</v>
      </c>
      <c r="X20" s="46">
        <f t="shared" si="5"/>
        <v>44</v>
      </c>
      <c r="Y20" s="46">
        <f t="shared" si="5"/>
        <v>61</v>
      </c>
      <c r="Z20" s="46">
        <f t="shared" si="5"/>
        <v>6</v>
      </c>
      <c r="AA20" s="46">
        <f t="shared" si="5"/>
        <v>27</v>
      </c>
      <c r="AB20" s="46">
        <f t="shared" si="5"/>
        <v>42</v>
      </c>
      <c r="AC20" s="46">
        <f t="shared" si="5"/>
        <v>57</v>
      </c>
      <c r="AD20" s="46">
        <f t="shared" si="5"/>
        <v>72</v>
      </c>
      <c r="AE20" s="46">
        <f t="shared" si="5"/>
        <v>27</v>
      </c>
      <c r="AF20" s="46">
        <f t="shared" si="5"/>
        <v>40</v>
      </c>
      <c r="AG20" s="46">
        <f t="shared" si="5"/>
        <v>53</v>
      </c>
      <c r="AH20" s="46">
        <f t="shared" si="5"/>
        <v>66</v>
      </c>
      <c r="AI20" s="46">
        <f t="shared" si="5"/>
        <v>27</v>
      </c>
      <c r="AJ20" s="46">
        <f t="shared" si="5"/>
        <v>38</v>
      </c>
      <c r="AK20" s="46">
        <f t="shared" si="5"/>
        <v>49</v>
      </c>
      <c r="AL20" s="46">
        <f t="shared" si="3"/>
        <v>6</v>
      </c>
    </row>
    <row r="21" spans="1:38" x14ac:dyDescent="0.35">
      <c r="A21" s="3">
        <v>18</v>
      </c>
      <c r="B21" s="22" t="s">
        <v>19</v>
      </c>
      <c r="D21">
        <f>3*$B$2/$C$2-$E$2/2+$B$2/8+1</f>
        <v>58</v>
      </c>
      <c r="E21">
        <f>ROUND(3*$B$2/$C$2+$E$2/2+$B$2/8,0)</f>
        <v>69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70</v>
      </c>
      <c r="E22">
        <f>$B$2</f>
        <v>72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4</v>
      </c>
      <c r="E23">
        <f>ROUND($B$2/$C$2+$E$2/2-$B$2/8,0)</f>
        <v>15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6">SUM(F28:F40)</f>
        <v>45</v>
      </c>
      <c r="G41">
        <f t="shared" si="6"/>
        <v>79</v>
      </c>
      <c r="H41">
        <f t="shared" si="6"/>
        <v>70</v>
      </c>
      <c r="I41">
        <f t="shared" si="6"/>
        <v>59</v>
      </c>
      <c r="J41">
        <f t="shared" si="6"/>
        <v>51</v>
      </c>
      <c r="K41">
        <f t="shared" si="6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218" priority="6" operator="between">
      <formula>$D$17</formula>
      <formula>$E$17</formula>
    </cfRule>
    <cfRule type="cellIs" dxfId="217" priority="7" operator="between">
      <formula>$D$16</formula>
      <formula>$E$16</formula>
    </cfRule>
    <cfRule type="cellIs" dxfId="216" priority="8" operator="between">
      <formula>$D$15</formula>
      <formula>$E$15</formula>
    </cfRule>
    <cfRule type="cellIs" dxfId="215" priority="9" operator="between">
      <formula>$D$14</formula>
      <formula>$E$14</formula>
    </cfRule>
  </conditionalFormatting>
  <conditionalFormatting sqref="W3:AL22">
    <cfRule type="cellIs" dxfId="214" priority="1" operator="between">
      <formula>$D$23</formula>
      <formula>$E$23</formula>
    </cfRule>
    <cfRule type="cellIs" dxfId="213" priority="2" operator="between">
      <formula>$D$22</formula>
      <formula>$E$22</formula>
    </cfRule>
    <cfRule type="cellIs" dxfId="212" priority="3" operator="between">
      <formula>$D$21</formula>
      <formula>$E$21</formula>
    </cfRule>
    <cfRule type="cellIs" dxfId="211" priority="4" operator="between">
      <formula>$D$20</formula>
      <formula>$E$20</formula>
    </cfRule>
    <cfRule type="cellIs" dxfId="210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7">
    <pageSetUpPr fitToPage="1"/>
  </sheetPr>
  <dimension ref="A1:P41"/>
  <sheetViews>
    <sheetView topLeftCell="A4"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18</v>
      </c>
      <c r="C4" s="58">
        <v>35</v>
      </c>
      <c r="D4" s="59">
        <v>52</v>
      </c>
      <c r="E4" s="57">
        <v>1</v>
      </c>
      <c r="F4" s="58">
        <v>33</v>
      </c>
      <c r="G4" s="86">
        <v>48</v>
      </c>
      <c r="H4" s="59">
        <v>63</v>
      </c>
      <c r="I4" s="57">
        <v>1</v>
      </c>
      <c r="J4" s="58">
        <v>31</v>
      </c>
      <c r="K4" s="58">
        <v>44</v>
      </c>
      <c r="L4" s="90">
        <v>57</v>
      </c>
      <c r="M4" s="57">
        <v>1</v>
      </c>
      <c r="N4" s="86">
        <v>29</v>
      </c>
      <c r="O4" s="58">
        <v>40</v>
      </c>
      <c r="P4" s="59">
        <v>68</v>
      </c>
    </row>
    <row r="5" spans="1:16" x14ac:dyDescent="0.35">
      <c r="A5" s="82">
        <v>2</v>
      </c>
      <c r="B5" s="55">
        <v>19</v>
      </c>
      <c r="C5" s="55">
        <v>36</v>
      </c>
      <c r="D5" s="56">
        <v>53</v>
      </c>
      <c r="E5" s="75">
        <v>2</v>
      </c>
      <c r="F5" s="76">
        <v>34</v>
      </c>
      <c r="G5" s="87">
        <v>49</v>
      </c>
      <c r="H5" s="77">
        <v>64</v>
      </c>
      <c r="I5" s="49">
        <v>2</v>
      </c>
      <c r="J5" s="50">
        <v>32</v>
      </c>
      <c r="K5" s="50">
        <v>45</v>
      </c>
      <c r="L5" s="91">
        <v>58</v>
      </c>
      <c r="M5" s="75">
        <v>2</v>
      </c>
      <c r="N5" s="87">
        <v>30</v>
      </c>
      <c r="O5" s="76">
        <v>41</v>
      </c>
      <c r="P5" s="77">
        <v>52</v>
      </c>
    </row>
    <row r="6" spans="1:16" x14ac:dyDescent="0.35">
      <c r="A6" s="83">
        <v>3</v>
      </c>
      <c r="B6" s="61">
        <v>20</v>
      </c>
      <c r="C6" s="61">
        <v>37</v>
      </c>
      <c r="D6" s="62">
        <v>54</v>
      </c>
      <c r="E6" s="60">
        <v>3</v>
      </c>
      <c r="F6" s="61">
        <v>18</v>
      </c>
      <c r="G6" s="88">
        <v>50</v>
      </c>
      <c r="H6" s="62">
        <v>65</v>
      </c>
      <c r="I6" s="60">
        <v>3</v>
      </c>
      <c r="J6" s="61">
        <v>33</v>
      </c>
      <c r="K6" s="61">
        <v>46</v>
      </c>
      <c r="L6" s="92">
        <v>59</v>
      </c>
      <c r="M6" s="60">
        <v>3</v>
      </c>
      <c r="N6" s="88">
        <v>31</v>
      </c>
      <c r="O6" s="61">
        <v>42</v>
      </c>
      <c r="P6" s="62">
        <v>53</v>
      </c>
    </row>
    <row r="7" spans="1:16" x14ac:dyDescent="0.35">
      <c r="A7" s="82">
        <v>4</v>
      </c>
      <c r="B7" s="55">
        <v>21</v>
      </c>
      <c r="C7" s="55">
        <v>38</v>
      </c>
      <c r="D7" s="56">
        <v>55</v>
      </c>
      <c r="E7" s="75">
        <v>4</v>
      </c>
      <c r="F7" s="76">
        <v>19</v>
      </c>
      <c r="G7" s="87">
        <v>51</v>
      </c>
      <c r="H7" s="77">
        <v>66</v>
      </c>
      <c r="I7" s="49">
        <v>4</v>
      </c>
      <c r="J7" s="50">
        <v>34</v>
      </c>
      <c r="K7" s="50">
        <v>47</v>
      </c>
      <c r="L7" s="91">
        <v>60</v>
      </c>
      <c r="M7" s="75">
        <v>4</v>
      </c>
      <c r="N7" s="87">
        <v>32</v>
      </c>
      <c r="O7" s="76">
        <v>43</v>
      </c>
      <c r="P7" s="77">
        <v>54</v>
      </c>
    </row>
    <row r="8" spans="1:16" x14ac:dyDescent="0.35">
      <c r="A8" s="83">
        <v>5</v>
      </c>
      <c r="B8" s="61">
        <v>22</v>
      </c>
      <c r="C8" s="61">
        <v>39</v>
      </c>
      <c r="D8" s="62">
        <v>56</v>
      </c>
      <c r="E8" s="60">
        <v>5</v>
      </c>
      <c r="F8" s="61">
        <v>20</v>
      </c>
      <c r="G8" s="88">
        <v>35</v>
      </c>
      <c r="H8" s="62">
        <v>67</v>
      </c>
      <c r="I8" s="60">
        <v>5</v>
      </c>
      <c r="J8" s="61">
        <v>18</v>
      </c>
      <c r="K8" s="61">
        <v>48</v>
      </c>
      <c r="L8" s="92">
        <v>61</v>
      </c>
      <c r="M8" s="60">
        <v>5</v>
      </c>
      <c r="N8" s="88">
        <v>33</v>
      </c>
      <c r="O8" s="61">
        <v>44</v>
      </c>
      <c r="P8" s="62">
        <v>55</v>
      </c>
    </row>
    <row r="9" spans="1:16" x14ac:dyDescent="0.35">
      <c r="A9" s="82">
        <v>6</v>
      </c>
      <c r="B9" s="55">
        <v>23</v>
      </c>
      <c r="C9" s="55">
        <v>40</v>
      </c>
      <c r="D9" s="56">
        <v>57</v>
      </c>
      <c r="E9" s="75">
        <v>6</v>
      </c>
      <c r="F9" s="76">
        <v>21</v>
      </c>
      <c r="G9" s="87">
        <v>36</v>
      </c>
      <c r="H9" s="77">
        <v>68</v>
      </c>
      <c r="I9" s="49">
        <v>6</v>
      </c>
      <c r="J9" s="50">
        <v>19</v>
      </c>
      <c r="K9" s="50">
        <v>49</v>
      </c>
      <c r="L9" s="91">
        <v>62</v>
      </c>
      <c r="M9" s="75">
        <v>6</v>
      </c>
      <c r="N9" s="87">
        <v>34</v>
      </c>
      <c r="O9" s="76">
        <v>45</v>
      </c>
      <c r="P9" s="77">
        <v>56</v>
      </c>
    </row>
    <row r="10" spans="1:16" x14ac:dyDescent="0.35">
      <c r="A10" s="83">
        <v>7</v>
      </c>
      <c r="B10" s="61">
        <v>24</v>
      </c>
      <c r="C10" s="61">
        <v>41</v>
      </c>
      <c r="D10" s="62">
        <v>58</v>
      </c>
      <c r="E10" s="60">
        <v>7</v>
      </c>
      <c r="F10" s="61">
        <v>22</v>
      </c>
      <c r="G10" s="88">
        <v>37</v>
      </c>
      <c r="H10" s="62">
        <v>52</v>
      </c>
      <c r="I10" s="60">
        <v>7</v>
      </c>
      <c r="J10" s="61">
        <v>20</v>
      </c>
      <c r="K10" s="61">
        <v>50</v>
      </c>
      <c r="L10" s="92">
        <v>63</v>
      </c>
      <c r="M10" s="60">
        <v>7</v>
      </c>
      <c r="N10" s="88">
        <v>18</v>
      </c>
      <c r="O10" s="61">
        <v>46</v>
      </c>
      <c r="P10" s="62">
        <v>57</v>
      </c>
    </row>
    <row r="11" spans="1:16" x14ac:dyDescent="0.35">
      <c r="A11" s="84">
        <v>8</v>
      </c>
      <c r="B11" s="50">
        <v>25</v>
      </c>
      <c r="C11" s="50">
        <v>42</v>
      </c>
      <c r="D11" s="51">
        <v>59</v>
      </c>
      <c r="E11" s="75">
        <v>8</v>
      </c>
      <c r="F11" s="76">
        <v>23</v>
      </c>
      <c r="G11" s="87">
        <v>38</v>
      </c>
      <c r="H11" s="77">
        <v>53</v>
      </c>
      <c r="I11" s="49">
        <v>8</v>
      </c>
      <c r="J11" s="50">
        <v>21</v>
      </c>
      <c r="K11" s="50">
        <v>51</v>
      </c>
      <c r="L11" s="91">
        <v>64</v>
      </c>
      <c r="M11" s="75">
        <v>8</v>
      </c>
      <c r="N11" s="87">
        <v>19</v>
      </c>
      <c r="O11" s="76">
        <v>47</v>
      </c>
      <c r="P11" s="77">
        <v>58</v>
      </c>
    </row>
    <row r="12" spans="1:16" x14ac:dyDescent="0.35">
      <c r="A12" s="83">
        <v>9</v>
      </c>
      <c r="B12" s="61">
        <v>26</v>
      </c>
      <c r="C12" s="61">
        <v>43</v>
      </c>
      <c r="D12" s="62">
        <v>60</v>
      </c>
      <c r="E12" s="60">
        <v>9</v>
      </c>
      <c r="F12" s="61">
        <v>24</v>
      </c>
      <c r="G12" s="88">
        <v>39</v>
      </c>
      <c r="H12" s="62">
        <v>54</v>
      </c>
      <c r="I12" s="60">
        <v>9</v>
      </c>
      <c r="J12" s="61">
        <v>22</v>
      </c>
      <c r="K12" s="61">
        <v>35</v>
      </c>
      <c r="L12" s="92">
        <v>65</v>
      </c>
      <c r="M12" s="60">
        <v>9</v>
      </c>
      <c r="N12" s="88">
        <v>20</v>
      </c>
      <c r="O12" s="61">
        <v>48</v>
      </c>
      <c r="P12" s="62">
        <v>59</v>
      </c>
    </row>
    <row r="13" spans="1:16" x14ac:dyDescent="0.35">
      <c r="A13" s="84">
        <v>10</v>
      </c>
      <c r="B13" s="50">
        <v>27</v>
      </c>
      <c r="C13" s="50">
        <v>44</v>
      </c>
      <c r="D13" s="51">
        <v>61</v>
      </c>
      <c r="E13" s="75">
        <v>10</v>
      </c>
      <c r="F13" s="76">
        <v>25</v>
      </c>
      <c r="G13" s="87">
        <v>40</v>
      </c>
      <c r="H13" s="77">
        <v>55</v>
      </c>
      <c r="I13" s="49">
        <v>10</v>
      </c>
      <c r="J13" s="50">
        <v>23</v>
      </c>
      <c r="K13" s="50">
        <v>36</v>
      </c>
      <c r="L13" s="91">
        <v>66</v>
      </c>
      <c r="M13" s="75">
        <v>10</v>
      </c>
      <c r="N13" s="87">
        <v>21</v>
      </c>
      <c r="O13" s="76">
        <v>49</v>
      </c>
      <c r="P13" s="77">
        <v>60</v>
      </c>
    </row>
    <row r="14" spans="1:16" x14ac:dyDescent="0.35">
      <c r="A14" s="83">
        <v>11</v>
      </c>
      <c r="B14" s="61">
        <v>28</v>
      </c>
      <c r="C14" s="61">
        <v>45</v>
      </c>
      <c r="D14" s="62">
        <v>62</v>
      </c>
      <c r="E14" s="60">
        <v>11</v>
      </c>
      <c r="F14" s="61">
        <v>26</v>
      </c>
      <c r="G14" s="88">
        <v>41</v>
      </c>
      <c r="H14" s="62">
        <v>56</v>
      </c>
      <c r="I14" s="60">
        <v>11</v>
      </c>
      <c r="J14" s="61">
        <v>24</v>
      </c>
      <c r="K14" s="61">
        <v>37</v>
      </c>
      <c r="L14" s="92">
        <v>67</v>
      </c>
      <c r="M14" s="60">
        <v>11</v>
      </c>
      <c r="N14" s="88">
        <v>22</v>
      </c>
      <c r="O14" s="61">
        <v>50</v>
      </c>
      <c r="P14" s="62">
        <v>61</v>
      </c>
    </row>
    <row r="15" spans="1:16" x14ac:dyDescent="0.35">
      <c r="A15" s="84">
        <v>12</v>
      </c>
      <c r="B15" s="50">
        <v>29</v>
      </c>
      <c r="C15" s="50">
        <v>46</v>
      </c>
      <c r="D15" s="51">
        <v>63</v>
      </c>
      <c r="E15" s="75">
        <v>12</v>
      </c>
      <c r="F15" s="76">
        <v>27</v>
      </c>
      <c r="G15" s="87">
        <v>42</v>
      </c>
      <c r="H15" s="77">
        <v>57</v>
      </c>
      <c r="I15" s="49">
        <v>12</v>
      </c>
      <c r="J15" s="50">
        <v>25</v>
      </c>
      <c r="K15" s="50">
        <v>38</v>
      </c>
      <c r="L15" s="91">
        <v>68</v>
      </c>
      <c r="M15" s="75">
        <v>12</v>
      </c>
      <c r="N15" s="87">
        <v>23</v>
      </c>
      <c r="O15" s="76">
        <v>51</v>
      </c>
      <c r="P15" s="77">
        <v>62</v>
      </c>
    </row>
    <row r="16" spans="1:16" x14ac:dyDescent="0.35">
      <c r="A16" s="83">
        <v>13</v>
      </c>
      <c r="B16" s="61">
        <v>30</v>
      </c>
      <c r="C16" s="61">
        <v>47</v>
      </c>
      <c r="D16" s="62">
        <v>64</v>
      </c>
      <c r="E16" s="60">
        <v>13</v>
      </c>
      <c r="F16" s="61">
        <v>28</v>
      </c>
      <c r="G16" s="88">
        <v>43</v>
      </c>
      <c r="H16" s="62">
        <v>58</v>
      </c>
      <c r="I16" s="60">
        <v>13</v>
      </c>
      <c r="J16" s="61">
        <v>26</v>
      </c>
      <c r="K16" s="61">
        <v>39</v>
      </c>
      <c r="L16" s="92">
        <v>52</v>
      </c>
      <c r="M16" s="60">
        <v>13</v>
      </c>
      <c r="N16" s="88">
        <v>24</v>
      </c>
      <c r="O16" s="61">
        <v>35</v>
      </c>
      <c r="P16" s="62">
        <v>63</v>
      </c>
    </row>
    <row r="17" spans="1:16" x14ac:dyDescent="0.35">
      <c r="A17" s="84">
        <v>14</v>
      </c>
      <c r="B17" s="50">
        <v>31</v>
      </c>
      <c r="C17" s="50">
        <v>48</v>
      </c>
      <c r="D17" s="51">
        <v>65</v>
      </c>
      <c r="E17" s="75">
        <v>14</v>
      </c>
      <c r="F17" s="76">
        <v>29</v>
      </c>
      <c r="G17" s="87">
        <v>44</v>
      </c>
      <c r="H17" s="77">
        <v>59</v>
      </c>
      <c r="I17" s="49">
        <v>14</v>
      </c>
      <c r="J17" s="50">
        <v>27</v>
      </c>
      <c r="K17" s="50">
        <v>40</v>
      </c>
      <c r="L17" s="91">
        <v>53</v>
      </c>
      <c r="M17" s="75">
        <v>14</v>
      </c>
      <c r="N17" s="87">
        <v>25</v>
      </c>
      <c r="O17" s="76">
        <v>36</v>
      </c>
      <c r="P17" s="77">
        <v>64</v>
      </c>
    </row>
    <row r="18" spans="1:16" x14ac:dyDescent="0.35">
      <c r="A18" s="83">
        <v>15</v>
      </c>
      <c r="B18" s="61">
        <v>32</v>
      </c>
      <c r="C18" s="61">
        <v>49</v>
      </c>
      <c r="D18" s="62">
        <v>66</v>
      </c>
      <c r="E18" s="60">
        <v>15</v>
      </c>
      <c r="F18" s="61">
        <v>30</v>
      </c>
      <c r="G18" s="88">
        <v>45</v>
      </c>
      <c r="H18" s="62">
        <v>60</v>
      </c>
      <c r="I18" s="60">
        <v>15</v>
      </c>
      <c r="J18" s="61">
        <v>28</v>
      </c>
      <c r="K18" s="61">
        <v>41</v>
      </c>
      <c r="L18" s="92">
        <v>54</v>
      </c>
      <c r="M18" s="60">
        <v>15</v>
      </c>
      <c r="N18" s="88">
        <v>26</v>
      </c>
      <c r="O18" s="61">
        <v>37</v>
      </c>
      <c r="P18" s="62">
        <v>65</v>
      </c>
    </row>
    <row r="19" spans="1:16" x14ac:dyDescent="0.35">
      <c r="A19" s="84">
        <v>16</v>
      </c>
      <c r="B19" s="50">
        <v>33</v>
      </c>
      <c r="C19" s="50">
        <v>50</v>
      </c>
      <c r="D19" s="51">
        <v>67</v>
      </c>
      <c r="E19" s="75">
        <v>16</v>
      </c>
      <c r="F19" s="76">
        <v>31</v>
      </c>
      <c r="G19" s="87">
        <v>46</v>
      </c>
      <c r="H19" s="77">
        <v>61</v>
      </c>
      <c r="I19" s="49">
        <v>16</v>
      </c>
      <c r="J19" s="50">
        <v>29</v>
      </c>
      <c r="K19" s="50">
        <v>42</v>
      </c>
      <c r="L19" s="91">
        <v>55</v>
      </c>
      <c r="M19" s="75">
        <v>16</v>
      </c>
      <c r="N19" s="87">
        <v>27</v>
      </c>
      <c r="O19" s="76">
        <v>38</v>
      </c>
      <c r="P19" s="77">
        <v>66</v>
      </c>
    </row>
    <row r="20" spans="1:16" x14ac:dyDescent="0.35">
      <c r="A20" s="83">
        <v>17</v>
      </c>
      <c r="B20" s="61">
        <v>34</v>
      </c>
      <c r="C20" s="61">
        <v>51</v>
      </c>
      <c r="D20" s="62">
        <v>68</v>
      </c>
      <c r="E20" s="60">
        <v>17</v>
      </c>
      <c r="F20" s="61">
        <v>32</v>
      </c>
      <c r="G20" s="88">
        <v>47</v>
      </c>
      <c r="H20" s="62">
        <v>62</v>
      </c>
      <c r="I20" s="60">
        <v>17</v>
      </c>
      <c r="J20" s="61">
        <v>30</v>
      </c>
      <c r="K20" s="61">
        <v>43</v>
      </c>
      <c r="L20" s="92">
        <v>56</v>
      </c>
      <c r="M20" s="60">
        <v>17</v>
      </c>
      <c r="N20" s="88">
        <v>28</v>
      </c>
      <c r="O20" s="61">
        <v>39</v>
      </c>
      <c r="P20" s="62">
        <v>67</v>
      </c>
    </row>
    <row r="21" spans="1:16" ht="15" thickBot="1" x14ac:dyDescent="0.4"/>
    <row r="22" spans="1:16" x14ac:dyDescent="0.35">
      <c r="A22" s="108" t="s">
        <v>34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</row>
    <row r="23" spans="1:16" ht="5.25" customHeight="1" thickBot="1" x14ac:dyDescent="0.4">
      <c r="A23" s="111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3"/>
    </row>
    <row r="24" spans="1:16" ht="15" thickBot="1" x14ac:dyDescent="0.4">
      <c r="A24" s="102" t="s">
        <v>30</v>
      </c>
      <c r="B24" s="103"/>
      <c r="C24" s="103"/>
      <c r="D24" s="104"/>
      <c r="E24" s="105" t="s">
        <v>31</v>
      </c>
      <c r="F24" s="106"/>
      <c r="G24" s="106"/>
      <c r="H24" s="107"/>
      <c r="I24" s="102" t="s">
        <v>32</v>
      </c>
      <c r="J24" s="103"/>
      <c r="K24" s="103"/>
      <c r="L24" s="104"/>
      <c r="M24" s="105" t="s">
        <v>33</v>
      </c>
      <c r="N24" s="106"/>
      <c r="O24" s="106"/>
      <c r="P24" s="107"/>
    </row>
    <row r="25" spans="1:16" x14ac:dyDescent="0.35">
      <c r="A25" s="57">
        <v>10</v>
      </c>
      <c r="B25" s="86">
        <v>43</v>
      </c>
      <c r="C25" s="58">
        <v>59</v>
      </c>
      <c r="D25" s="59">
        <v>7</v>
      </c>
      <c r="E25" s="57">
        <v>10</v>
      </c>
      <c r="F25" s="58">
        <v>41</v>
      </c>
      <c r="G25" s="58">
        <v>55</v>
      </c>
      <c r="H25" s="90">
        <v>1</v>
      </c>
      <c r="I25" s="57">
        <v>10</v>
      </c>
      <c r="J25" s="58">
        <v>37</v>
      </c>
      <c r="K25" s="86">
        <v>47</v>
      </c>
      <c r="L25" s="59">
        <v>6</v>
      </c>
      <c r="M25" s="81">
        <v>10</v>
      </c>
      <c r="N25" s="58">
        <v>35</v>
      </c>
      <c r="O25" s="58">
        <v>60</v>
      </c>
      <c r="P25" s="59">
        <v>68</v>
      </c>
    </row>
    <row r="26" spans="1:16" x14ac:dyDescent="0.35">
      <c r="A26" s="94">
        <v>11</v>
      </c>
      <c r="B26" s="95">
        <v>27</v>
      </c>
      <c r="C26" s="55">
        <v>60</v>
      </c>
      <c r="D26" s="56">
        <v>8</v>
      </c>
      <c r="E26" s="75">
        <v>11</v>
      </c>
      <c r="F26" s="76">
        <v>42</v>
      </c>
      <c r="G26" s="76">
        <v>56</v>
      </c>
      <c r="H26" s="98">
        <v>2</v>
      </c>
      <c r="I26" s="49">
        <v>11</v>
      </c>
      <c r="J26" s="50">
        <v>38</v>
      </c>
      <c r="K26" s="96">
        <v>48</v>
      </c>
      <c r="L26" s="51">
        <v>7</v>
      </c>
      <c r="M26" s="100">
        <v>11</v>
      </c>
      <c r="N26" s="76">
        <v>36</v>
      </c>
      <c r="O26" s="76">
        <v>44</v>
      </c>
      <c r="P26" s="77">
        <v>1</v>
      </c>
    </row>
    <row r="27" spans="1:16" x14ac:dyDescent="0.35">
      <c r="A27" s="60">
        <v>12</v>
      </c>
      <c r="B27" s="88">
        <v>28</v>
      </c>
      <c r="C27" s="61">
        <v>44</v>
      </c>
      <c r="D27" s="62">
        <v>9</v>
      </c>
      <c r="E27" s="60">
        <v>12</v>
      </c>
      <c r="F27" s="61">
        <v>43</v>
      </c>
      <c r="G27" s="61">
        <v>57</v>
      </c>
      <c r="H27" s="92">
        <v>3</v>
      </c>
      <c r="I27" s="60">
        <v>12</v>
      </c>
      <c r="J27" s="61">
        <v>39</v>
      </c>
      <c r="K27" s="88">
        <v>49</v>
      </c>
      <c r="L27" s="62">
        <v>8</v>
      </c>
      <c r="M27" s="83">
        <v>12</v>
      </c>
      <c r="N27" s="61">
        <v>37</v>
      </c>
      <c r="O27" s="61">
        <v>45</v>
      </c>
      <c r="P27" s="62">
        <v>2</v>
      </c>
    </row>
    <row r="28" spans="1:16" x14ac:dyDescent="0.35">
      <c r="A28" s="94">
        <v>13</v>
      </c>
      <c r="B28" s="95">
        <v>29</v>
      </c>
      <c r="C28" s="55">
        <v>45</v>
      </c>
      <c r="D28" s="56">
        <v>61</v>
      </c>
      <c r="E28" s="75">
        <v>13</v>
      </c>
      <c r="F28" s="76">
        <v>27</v>
      </c>
      <c r="G28" s="76">
        <v>58</v>
      </c>
      <c r="H28" s="98">
        <v>4</v>
      </c>
      <c r="I28" s="49">
        <v>13</v>
      </c>
      <c r="J28" s="50">
        <v>40</v>
      </c>
      <c r="K28" s="96">
        <v>50</v>
      </c>
      <c r="L28" s="51">
        <v>9</v>
      </c>
      <c r="M28" s="100">
        <v>13</v>
      </c>
      <c r="N28" s="76">
        <v>38</v>
      </c>
      <c r="O28" s="76">
        <v>46</v>
      </c>
      <c r="P28" s="77">
        <v>3</v>
      </c>
    </row>
    <row r="29" spans="1:16" x14ac:dyDescent="0.35">
      <c r="A29" s="60">
        <v>14</v>
      </c>
      <c r="B29" s="88">
        <v>30</v>
      </c>
      <c r="C29" s="61">
        <v>46</v>
      </c>
      <c r="D29" s="62">
        <v>62</v>
      </c>
      <c r="E29" s="60">
        <v>14</v>
      </c>
      <c r="F29" s="61">
        <v>28</v>
      </c>
      <c r="G29" s="61">
        <v>59</v>
      </c>
      <c r="H29" s="92">
        <v>5</v>
      </c>
      <c r="I29" s="60">
        <v>14</v>
      </c>
      <c r="J29" s="61">
        <v>41</v>
      </c>
      <c r="K29" s="88">
        <v>51</v>
      </c>
      <c r="L29" s="62">
        <v>61</v>
      </c>
      <c r="M29" s="83">
        <v>14</v>
      </c>
      <c r="N29" s="61">
        <v>39</v>
      </c>
      <c r="O29" s="61">
        <v>47</v>
      </c>
      <c r="P29" s="62">
        <v>4</v>
      </c>
    </row>
    <row r="30" spans="1:16" x14ac:dyDescent="0.35">
      <c r="A30" s="94">
        <v>15</v>
      </c>
      <c r="B30" s="95">
        <v>31</v>
      </c>
      <c r="C30" s="55">
        <v>47</v>
      </c>
      <c r="D30" s="56">
        <v>63</v>
      </c>
      <c r="E30" s="75">
        <v>15</v>
      </c>
      <c r="F30" s="76">
        <v>29</v>
      </c>
      <c r="G30" s="76">
        <v>60</v>
      </c>
      <c r="H30" s="98">
        <v>6</v>
      </c>
      <c r="I30" s="49">
        <v>15</v>
      </c>
      <c r="J30" s="50">
        <v>42</v>
      </c>
      <c r="K30" s="96">
        <v>52</v>
      </c>
      <c r="L30" s="51">
        <v>62</v>
      </c>
      <c r="M30" s="100">
        <v>15</v>
      </c>
      <c r="N30" s="76">
        <v>40</v>
      </c>
      <c r="O30" s="76">
        <v>48</v>
      </c>
      <c r="P30" s="77">
        <v>5</v>
      </c>
    </row>
    <row r="31" spans="1:16" x14ac:dyDescent="0.35">
      <c r="A31" s="60">
        <v>16</v>
      </c>
      <c r="B31" s="88">
        <v>32</v>
      </c>
      <c r="C31" s="61">
        <v>48</v>
      </c>
      <c r="D31" s="62">
        <v>64</v>
      </c>
      <c r="E31" s="60">
        <v>16</v>
      </c>
      <c r="F31" s="61">
        <v>30</v>
      </c>
      <c r="G31" s="61">
        <v>44</v>
      </c>
      <c r="H31" s="92">
        <v>7</v>
      </c>
      <c r="I31" s="60">
        <v>16</v>
      </c>
      <c r="J31" s="61">
        <v>43</v>
      </c>
      <c r="K31" s="88">
        <v>53</v>
      </c>
      <c r="L31" s="62">
        <v>63</v>
      </c>
      <c r="M31" s="83">
        <v>16</v>
      </c>
      <c r="N31" s="61">
        <v>41</v>
      </c>
      <c r="O31" s="61">
        <v>49</v>
      </c>
      <c r="P31" s="62">
        <v>6</v>
      </c>
    </row>
    <row r="32" spans="1:16" x14ac:dyDescent="0.35">
      <c r="A32" s="49">
        <v>17</v>
      </c>
      <c r="B32" s="96">
        <v>33</v>
      </c>
      <c r="C32" s="50">
        <v>49</v>
      </c>
      <c r="D32" s="51">
        <v>65</v>
      </c>
      <c r="E32" s="75">
        <v>17</v>
      </c>
      <c r="F32" s="76">
        <v>31</v>
      </c>
      <c r="G32" s="76">
        <v>45</v>
      </c>
      <c r="H32" s="98">
        <v>8</v>
      </c>
      <c r="I32" s="49">
        <v>17</v>
      </c>
      <c r="J32" s="50">
        <v>27</v>
      </c>
      <c r="K32" s="96">
        <v>54</v>
      </c>
      <c r="L32" s="51">
        <v>64</v>
      </c>
      <c r="M32" s="100">
        <v>17</v>
      </c>
      <c r="N32" s="76">
        <v>42</v>
      </c>
      <c r="O32" s="76">
        <v>50</v>
      </c>
      <c r="P32" s="77">
        <v>7</v>
      </c>
    </row>
    <row r="33" spans="1:16" x14ac:dyDescent="0.35">
      <c r="A33" s="60">
        <v>18</v>
      </c>
      <c r="B33" s="88">
        <v>34</v>
      </c>
      <c r="C33" s="61">
        <v>50</v>
      </c>
      <c r="D33" s="62">
        <v>66</v>
      </c>
      <c r="E33" s="60">
        <v>18</v>
      </c>
      <c r="F33" s="61">
        <v>32</v>
      </c>
      <c r="G33" s="61">
        <v>46</v>
      </c>
      <c r="H33" s="92">
        <v>9</v>
      </c>
      <c r="I33" s="60">
        <v>18</v>
      </c>
      <c r="J33" s="61">
        <v>28</v>
      </c>
      <c r="K33" s="88">
        <v>55</v>
      </c>
      <c r="L33" s="62">
        <v>65</v>
      </c>
      <c r="M33" s="83">
        <v>18</v>
      </c>
      <c r="N33" s="61">
        <v>43</v>
      </c>
      <c r="O33" s="61">
        <v>51</v>
      </c>
      <c r="P33" s="62">
        <v>8</v>
      </c>
    </row>
    <row r="34" spans="1:16" x14ac:dyDescent="0.35">
      <c r="A34" s="49">
        <v>19</v>
      </c>
      <c r="B34" s="96">
        <v>35</v>
      </c>
      <c r="C34" s="50">
        <v>51</v>
      </c>
      <c r="D34" s="51">
        <v>67</v>
      </c>
      <c r="E34" s="75">
        <v>19</v>
      </c>
      <c r="F34" s="76">
        <v>33</v>
      </c>
      <c r="G34" s="76">
        <v>47</v>
      </c>
      <c r="H34" s="98">
        <v>61</v>
      </c>
      <c r="I34" s="49">
        <v>19</v>
      </c>
      <c r="J34" s="50">
        <v>29</v>
      </c>
      <c r="K34" s="96">
        <v>56</v>
      </c>
      <c r="L34" s="51">
        <v>66</v>
      </c>
      <c r="M34" s="100">
        <v>19</v>
      </c>
      <c r="N34" s="76">
        <v>27</v>
      </c>
      <c r="O34" s="76">
        <v>52</v>
      </c>
      <c r="P34" s="77">
        <v>9</v>
      </c>
    </row>
    <row r="35" spans="1:16" x14ac:dyDescent="0.35">
      <c r="A35" s="60">
        <v>20</v>
      </c>
      <c r="B35" s="88">
        <v>36</v>
      </c>
      <c r="C35" s="61">
        <v>52</v>
      </c>
      <c r="D35" s="62">
        <v>68</v>
      </c>
      <c r="E35" s="60">
        <v>20</v>
      </c>
      <c r="F35" s="61">
        <v>34</v>
      </c>
      <c r="G35" s="61">
        <v>48</v>
      </c>
      <c r="H35" s="92">
        <v>62</v>
      </c>
      <c r="I35" s="60">
        <v>20</v>
      </c>
      <c r="J35" s="61">
        <v>30</v>
      </c>
      <c r="K35" s="88">
        <v>57</v>
      </c>
      <c r="L35" s="62">
        <v>67</v>
      </c>
      <c r="M35" s="83">
        <v>20</v>
      </c>
      <c r="N35" s="61">
        <v>28</v>
      </c>
      <c r="O35" s="61">
        <v>53</v>
      </c>
      <c r="P35" s="62">
        <v>61</v>
      </c>
    </row>
    <row r="36" spans="1:16" x14ac:dyDescent="0.35">
      <c r="A36" s="49">
        <v>21</v>
      </c>
      <c r="B36" s="96">
        <v>37</v>
      </c>
      <c r="C36" s="50">
        <v>53</v>
      </c>
      <c r="D36" s="51">
        <v>1</v>
      </c>
      <c r="E36" s="75">
        <v>21</v>
      </c>
      <c r="F36" s="76">
        <v>35</v>
      </c>
      <c r="G36" s="76">
        <v>49</v>
      </c>
      <c r="H36" s="98">
        <v>63</v>
      </c>
      <c r="I36" s="49">
        <v>21</v>
      </c>
      <c r="J36" s="50">
        <v>31</v>
      </c>
      <c r="K36" s="96">
        <v>58</v>
      </c>
      <c r="L36" s="51">
        <v>68</v>
      </c>
      <c r="M36" s="100">
        <v>21</v>
      </c>
      <c r="N36" s="76">
        <v>29</v>
      </c>
      <c r="O36" s="76">
        <v>54</v>
      </c>
      <c r="P36" s="77">
        <v>62</v>
      </c>
    </row>
    <row r="37" spans="1:16" x14ac:dyDescent="0.35">
      <c r="A37" s="60">
        <v>22</v>
      </c>
      <c r="B37" s="88">
        <v>38</v>
      </c>
      <c r="C37" s="61">
        <v>54</v>
      </c>
      <c r="D37" s="62">
        <v>2</v>
      </c>
      <c r="E37" s="60">
        <v>22</v>
      </c>
      <c r="F37" s="61">
        <v>36</v>
      </c>
      <c r="G37" s="61">
        <v>50</v>
      </c>
      <c r="H37" s="92">
        <v>64</v>
      </c>
      <c r="I37" s="60">
        <v>22</v>
      </c>
      <c r="J37" s="61">
        <v>32</v>
      </c>
      <c r="K37" s="88">
        <v>59</v>
      </c>
      <c r="L37" s="62">
        <v>1</v>
      </c>
      <c r="M37" s="83">
        <v>22</v>
      </c>
      <c r="N37" s="61">
        <v>30</v>
      </c>
      <c r="O37" s="61">
        <v>55</v>
      </c>
      <c r="P37" s="62">
        <v>63</v>
      </c>
    </row>
    <row r="38" spans="1:16" x14ac:dyDescent="0.35">
      <c r="A38" s="49">
        <v>23</v>
      </c>
      <c r="B38" s="96">
        <v>39</v>
      </c>
      <c r="C38" s="50">
        <v>55</v>
      </c>
      <c r="D38" s="51">
        <v>3</v>
      </c>
      <c r="E38" s="75">
        <v>23</v>
      </c>
      <c r="F38" s="76">
        <v>37</v>
      </c>
      <c r="G38" s="76">
        <v>51</v>
      </c>
      <c r="H38" s="98">
        <v>65</v>
      </c>
      <c r="I38" s="49">
        <v>23</v>
      </c>
      <c r="J38" s="50">
        <v>33</v>
      </c>
      <c r="K38" s="96">
        <v>60</v>
      </c>
      <c r="L38" s="51">
        <v>2</v>
      </c>
      <c r="M38" s="100">
        <v>23</v>
      </c>
      <c r="N38" s="76">
        <v>31</v>
      </c>
      <c r="O38" s="76">
        <v>56</v>
      </c>
      <c r="P38" s="77">
        <v>64</v>
      </c>
    </row>
    <row r="39" spans="1:16" x14ac:dyDescent="0.35">
      <c r="A39" s="60">
        <v>24</v>
      </c>
      <c r="B39" s="88">
        <v>40</v>
      </c>
      <c r="C39" s="61">
        <v>56</v>
      </c>
      <c r="D39" s="62">
        <v>4</v>
      </c>
      <c r="E39" s="60">
        <v>24</v>
      </c>
      <c r="F39" s="61">
        <v>38</v>
      </c>
      <c r="G39" s="61">
        <v>52</v>
      </c>
      <c r="H39" s="92">
        <v>66</v>
      </c>
      <c r="I39" s="60">
        <v>24</v>
      </c>
      <c r="J39" s="61">
        <v>34</v>
      </c>
      <c r="K39" s="88">
        <v>44</v>
      </c>
      <c r="L39" s="62">
        <v>3</v>
      </c>
      <c r="M39" s="83">
        <v>24</v>
      </c>
      <c r="N39" s="61">
        <v>32</v>
      </c>
      <c r="O39" s="61">
        <v>57</v>
      </c>
      <c r="P39" s="62">
        <v>65</v>
      </c>
    </row>
    <row r="40" spans="1:16" x14ac:dyDescent="0.35">
      <c r="A40" s="49">
        <v>25</v>
      </c>
      <c r="B40" s="96">
        <v>41</v>
      </c>
      <c r="C40" s="50">
        <v>57</v>
      </c>
      <c r="D40" s="51">
        <v>5</v>
      </c>
      <c r="E40" s="75">
        <v>25</v>
      </c>
      <c r="F40" s="76">
        <v>39</v>
      </c>
      <c r="G40" s="76">
        <v>53</v>
      </c>
      <c r="H40" s="98">
        <v>67</v>
      </c>
      <c r="I40" s="49">
        <v>25</v>
      </c>
      <c r="J40" s="50">
        <v>35</v>
      </c>
      <c r="K40" s="96">
        <v>45</v>
      </c>
      <c r="L40" s="51">
        <v>4</v>
      </c>
      <c r="M40" s="100">
        <v>25</v>
      </c>
      <c r="N40" s="76">
        <v>33</v>
      </c>
      <c r="O40" s="76">
        <v>58</v>
      </c>
      <c r="P40" s="77">
        <v>66</v>
      </c>
    </row>
    <row r="41" spans="1:16" x14ac:dyDescent="0.35">
      <c r="A41" s="60">
        <v>26</v>
      </c>
      <c r="B41" s="88">
        <v>42</v>
      </c>
      <c r="C41" s="61">
        <v>58</v>
      </c>
      <c r="D41" s="62">
        <v>6</v>
      </c>
      <c r="E41" s="60">
        <v>26</v>
      </c>
      <c r="F41" s="61">
        <v>40</v>
      </c>
      <c r="G41" s="61">
        <v>54</v>
      </c>
      <c r="H41" s="92">
        <v>68</v>
      </c>
      <c r="I41" s="60">
        <v>26</v>
      </c>
      <c r="J41" s="61">
        <v>36</v>
      </c>
      <c r="K41" s="88">
        <v>46</v>
      </c>
      <c r="L41" s="62">
        <v>5</v>
      </c>
      <c r="M41" s="83">
        <v>26</v>
      </c>
      <c r="N41" s="61">
        <v>34</v>
      </c>
      <c r="O41" s="61">
        <v>59</v>
      </c>
      <c r="P41" s="62">
        <v>67</v>
      </c>
    </row>
  </sheetData>
  <mergeCells count="10">
    <mergeCell ref="A24:D24"/>
    <mergeCell ref="E24:H24"/>
    <mergeCell ref="I24:L24"/>
    <mergeCell ref="M24:P24"/>
    <mergeCell ref="A1:P2"/>
    <mergeCell ref="A3:D3"/>
    <mergeCell ref="E3:H3"/>
    <mergeCell ref="I3:L3"/>
    <mergeCell ref="M3:P3"/>
    <mergeCell ref="A22:P23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4" orientation="landscape" r:id="rId1"/>
  <headerFooter>
    <oddHeader>&amp;C&amp;"-,Tučné"&amp;16&amp;A hráčů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82"/>
  <sheetViews>
    <sheetView topLeftCell="F1" workbookViewId="0">
      <selection activeCell="V3" sqref="G3:V19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2</v>
      </c>
      <c r="C1">
        <f>FLOOR(2*$B$2/32,1)</f>
        <v>4</v>
      </c>
      <c r="D1">
        <f>FLOOR(3*$B$2/32,1)</f>
        <v>6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7</v>
      </c>
      <c r="AF1" s="9">
        <v>7</v>
      </c>
      <c r="AG1" s="9">
        <v>7</v>
      </c>
      <c r="AH1" s="10">
        <v>7</v>
      </c>
      <c r="AI1">
        <v>9</v>
      </c>
      <c r="AJ1">
        <v>9</v>
      </c>
      <c r="AK1">
        <v>9</v>
      </c>
      <c r="AL1">
        <v>9</v>
      </c>
    </row>
    <row r="2" spans="1:38" ht="15" thickBot="1" x14ac:dyDescent="0.4">
      <c r="A2">
        <f>CEILING(COUNTA(B3:B83)/4,1)*4</f>
        <v>80</v>
      </c>
      <c r="B2">
        <v>68</v>
      </c>
      <c r="C2">
        <v>4</v>
      </c>
      <c r="D2">
        <v>8</v>
      </c>
      <c r="E2">
        <v>12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8" si="0">MOD($A3-G$1*G$2,$B$2/4)+G$2*$B$2/4+1</f>
        <v>1</v>
      </c>
      <c r="H3" s="64">
        <f t="shared" si="0"/>
        <v>18</v>
      </c>
      <c r="I3" s="64">
        <f t="shared" si="0"/>
        <v>35</v>
      </c>
      <c r="J3" s="65">
        <f t="shared" si="0"/>
        <v>52</v>
      </c>
      <c r="K3" s="63">
        <f t="shared" si="0"/>
        <v>1</v>
      </c>
      <c r="L3" s="64">
        <f t="shared" si="0"/>
        <v>33</v>
      </c>
      <c r="M3" s="64">
        <f t="shared" si="0"/>
        <v>48</v>
      </c>
      <c r="N3" s="65">
        <f t="shared" si="0"/>
        <v>63</v>
      </c>
      <c r="O3" s="63">
        <f t="shared" si="0"/>
        <v>1</v>
      </c>
      <c r="P3" s="64">
        <f t="shared" si="0"/>
        <v>31</v>
      </c>
      <c r="Q3" s="64">
        <f t="shared" si="0"/>
        <v>44</v>
      </c>
      <c r="R3" s="65">
        <f t="shared" si="0"/>
        <v>57</v>
      </c>
      <c r="S3" s="63">
        <f t="shared" si="0"/>
        <v>1</v>
      </c>
      <c r="T3" s="64">
        <f t="shared" si="0"/>
        <v>29</v>
      </c>
      <c r="U3" s="64">
        <f t="shared" si="0"/>
        <v>40</v>
      </c>
      <c r="V3" s="65">
        <f t="shared" si="0"/>
        <v>68</v>
      </c>
      <c r="W3" s="46">
        <f t="shared" ref="W3:AL18" si="1">MOD(MOD($A3-W$1*W$2,$B$2/4)+W$2*$B$2/4+ROUND($B$2/8,0),$B$2)+1</f>
        <v>10</v>
      </c>
      <c r="X3" s="46">
        <f t="shared" si="1"/>
        <v>43</v>
      </c>
      <c r="Y3" s="46">
        <f t="shared" si="1"/>
        <v>59</v>
      </c>
      <c r="Z3" s="46">
        <f t="shared" si="1"/>
        <v>7</v>
      </c>
      <c r="AA3" s="46">
        <f t="shared" si="1"/>
        <v>10</v>
      </c>
      <c r="AB3" s="46">
        <f t="shared" si="1"/>
        <v>41</v>
      </c>
      <c r="AC3" s="46">
        <f t="shared" si="1"/>
        <v>55</v>
      </c>
      <c r="AD3" s="46">
        <f t="shared" si="1"/>
        <v>1</v>
      </c>
      <c r="AE3" s="46">
        <f t="shared" si="1"/>
        <v>10</v>
      </c>
      <c r="AF3" s="46">
        <f t="shared" si="1"/>
        <v>37</v>
      </c>
      <c r="AG3" s="46">
        <f t="shared" si="1"/>
        <v>47</v>
      </c>
      <c r="AH3" s="46">
        <f t="shared" si="1"/>
        <v>6</v>
      </c>
      <c r="AI3" s="46">
        <f t="shared" si="1"/>
        <v>10</v>
      </c>
      <c r="AJ3" s="46">
        <f t="shared" si="1"/>
        <v>35</v>
      </c>
      <c r="AK3" s="46">
        <f t="shared" si="1"/>
        <v>60</v>
      </c>
      <c r="AL3" s="46">
        <f t="shared" si="1"/>
        <v>68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19</v>
      </c>
      <c r="I4" s="40">
        <f t="shared" si="0"/>
        <v>36</v>
      </c>
      <c r="J4" s="66">
        <f t="shared" si="0"/>
        <v>53</v>
      </c>
      <c r="K4" s="43">
        <f t="shared" si="0"/>
        <v>2</v>
      </c>
      <c r="L4" s="40">
        <f t="shared" si="0"/>
        <v>34</v>
      </c>
      <c r="M4" s="40">
        <f t="shared" si="0"/>
        <v>49</v>
      </c>
      <c r="N4" s="66">
        <f t="shared" si="0"/>
        <v>64</v>
      </c>
      <c r="O4" s="43">
        <f t="shared" si="0"/>
        <v>2</v>
      </c>
      <c r="P4" s="40">
        <f t="shared" si="0"/>
        <v>32</v>
      </c>
      <c r="Q4" s="40">
        <f t="shared" si="0"/>
        <v>45</v>
      </c>
      <c r="R4" s="66">
        <f t="shared" si="0"/>
        <v>58</v>
      </c>
      <c r="S4" s="43">
        <f t="shared" si="0"/>
        <v>2</v>
      </c>
      <c r="T4" s="40">
        <f t="shared" si="0"/>
        <v>30</v>
      </c>
      <c r="U4" s="40">
        <f t="shared" si="0"/>
        <v>41</v>
      </c>
      <c r="V4" s="66">
        <f t="shared" si="0"/>
        <v>52</v>
      </c>
      <c r="W4" s="46">
        <f t="shared" si="1"/>
        <v>11</v>
      </c>
      <c r="X4" s="46">
        <f t="shared" si="1"/>
        <v>27</v>
      </c>
      <c r="Y4" s="46">
        <f t="shared" si="1"/>
        <v>60</v>
      </c>
      <c r="Z4" s="46">
        <f t="shared" si="1"/>
        <v>8</v>
      </c>
      <c r="AA4" s="46">
        <f t="shared" si="1"/>
        <v>11</v>
      </c>
      <c r="AB4" s="46">
        <f t="shared" si="1"/>
        <v>42</v>
      </c>
      <c r="AC4" s="46">
        <f t="shared" si="1"/>
        <v>56</v>
      </c>
      <c r="AD4" s="46">
        <f t="shared" si="1"/>
        <v>2</v>
      </c>
      <c r="AE4" s="46">
        <f t="shared" si="1"/>
        <v>11</v>
      </c>
      <c r="AF4" s="46">
        <f t="shared" si="1"/>
        <v>38</v>
      </c>
      <c r="AG4" s="46">
        <f t="shared" si="1"/>
        <v>48</v>
      </c>
      <c r="AH4" s="46">
        <f t="shared" si="1"/>
        <v>7</v>
      </c>
      <c r="AI4" s="46">
        <f t="shared" si="1"/>
        <v>11</v>
      </c>
      <c r="AJ4" s="46">
        <f t="shared" si="1"/>
        <v>36</v>
      </c>
      <c r="AK4" s="46">
        <f t="shared" si="1"/>
        <v>44</v>
      </c>
      <c r="AL4" s="46">
        <f t="shared" si="1"/>
        <v>1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20</v>
      </c>
      <c r="I5" s="40">
        <f t="shared" si="0"/>
        <v>37</v>
      </c>
      <c r="J5" s="66">
        <f t="shared" si="0"/>
        <v>54</v>
      </c>
      <c r="K5" s="43">
        <f t="shared" si="0"/>
        <v>3</v>
      </c>
      <c r="L5" s="40">
        <f t="shared" si="0"/>
        <v>18</v>
      </c>
      <c r="M5" s="40">
        <f t="shared" si="0"/>
        <v>50</v>
      </c>
      <c r="N5" s="66">
        <f t="shared" si="0"/>
        <v>65</v>
      </c>
      <c r="O5" s="43">
        <f t="shared" si="0"/>
        <v>3</v>
      </c>
      <c r="P5" s="40">
        <f t="shared" si="0"/>
        <v>33</v>
      </c>
      <c r="Q5" s="40">
        <f t="shared" si="0"/>
        <v>46</v>
      </c>
      <c r="R5" s="66">
        <f t="shared" si="0"/>
        <v>59</v>
      </c>
      <c r="S5" s="43">
        <f t="shared" si="0"/>
        <v>3</v>
      </c>
      <c r="T5" s="40">
        <f t="shared" si="0"/>
        <v>31</v>
      </c>
      <c r="U5" s="40">
        <f t="shared" si="0"/>
        <v>42</v>
      </c>
      <c r="V5" s="66">
        <f t="shared" si="0"/>
        <v>53</v>
      </c>
      <c r="W5" s="46">
        <f t="shared" si="1"/>
        <v>12</v>
      </c>
      <c r="X5" s="46">
        <f t="shared" si="1"/>
        <v>28</v>
      </c>
      <c r="Y5" s="46">
        <f t="shared" si="1"/>
        <v>44</v>
      </c>
      <c r="Z5" s="46">
        <f t="shared" si="1"/>
        <v>9</v>
      </c>
      <c r="AA5" s="46">
        <f t="shared" si="1"/>
        <v>12</v>
      </c>
      <c r="AB5" s="46">
        <f t="shared" si="1"/>
        <v>43</v>
      </c>
      <c r="AC5" s="46">
        <f t="shared" si="1"/>
        <v>57</v>
      </c>
      <c r="AD5" s="46">
        <f t="shared" si="1"/>
        <v>3</v>
      </c>
      <c r="AE5" s="46">
        <f t="shared" si="1"/>
        <v>12</v>
      </c>
      <c r="AF5" s="46">
        <f t="shared" si="1"/>
        <v>39</v>
      </c>
      <c r="AG5" s="46">
        <f t="shared" si="1"/>
        <v>49</v>
      </c>
      <c r="AH5" s="46">
        <f t="shared" si="1"/>
        <v>8</v>
      </c>
      <c r="AI5" s="46">
        <f t="shared" si="1"/>
        <v>12</v>
      </c>
      <c r="AJ5" s="46">
        <f t="shared" si="1"/>
        <v>37</v>
      </c>
      <c r="AK5" s="46">
        <f t="shared" si="1"/>
        <v>45</v>
      </c>
      <c r="AL5" s="46">
        <f t="shared" si="1"/>
        <v>2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21</v>
      </c>
      <c r="I6" s="40">
        <f t="shared" si="0"/>
        <v>38</v>
      </c>
      <c r="J6" s="66">
        <f t="shared" si="0"/>
        <v>55</v>
      </c>
      <c r="K6" s="43">
        <f t="shared" si="0"/>
        <v>4</v>
      </c>
      <c r="L6" s="40">
        <f t="shared" si="0"/>
        <v>19</v>
      </c>
      <c r="M6" s="40">
        <f t="shared" si="0"/>
        <v>51</v>
      </c>
      <c r="N6" s="66">
        <f t="shared" si="0"/>
        <v>66</v>
      </c>
      <c r="O6" s="43">
        <f t="shared" si="0"/>
        <v>4</v>
      </c>
      <c r="P6" s="40">
        <f t="shared" si="0"/>
        <v>34</v>
      </c>
      <c r="Q6" s="40">
        <f t="shared" si="0"/>
        <v>47</v>
      </c>
      <c r="R6" s="66">
        <f t="shared" si="0"/>
        <v>60</v>
      </c>
      <c r="S6" s="43">
        <f t="shared" si="0"/>
        <v>4</v>
      </c>
      <c r="T6" s="40">
        <f t="shared" si="0"/>
        <v>32</v>
      </c>
      <c r="U6" s="40">
        <f t="shared" si="0"/>
        <v>43</v>
      </c>
      <c r="V6" s="66">
        <f t="shared" si="0"/>
        <v>54</v>
      </c>
      <c r="W6" s="46">
        <f t="shared" si="1"/>
        <v>13</v>
      </c>
      <c r="X6" s="46">
        <f t="shared" si="1"/>
        <v>29</v>
      </c>
      <c r="Y6" s="46">
        <f t="shared" si="1"/>
        <v>45</v>
      </c>
      <c r="Z6" s="46">
        <f t="shared" si="1"/>
        <v>61</v>
      </c>
      <c r="AA6" s="46">
        <f t="shared" si="1"/>
        <v>13</v>
      </c>
      <c r="AB6" s="46">
        <f t="shared" si="1"/>
        <v>27</v>
      </c>
      <c r="AC6" s="46">
        <f t="shared" si="1"/>
        <v>58</v>
      </c>
      <c r="AD6" s="46">
        <f t="shared" si="1"/>
        <v>4</v>
      </c>
      <c r="AE6" s="46">
        <f t="shared" si="1"/>
        <v>13</v>
      </c>
      <c r="AF6" s="46">
        <f t="shared" si="1"/>
        <v>40</v>
      </c>
      <c r="AG6" s="46">
        <f t="shared" si="1"/>
        <v>50</v>
      </c>
      <c r="AH6" s="46">
        <f t="shared" si="1"/>
        <v>9</v>
      </c>
      <c r="AI6" s="46">
        <f t="shared" si="1"/>
        <v>13</v>
      </c>
      <c r="AJ6" s="46">
        <f t="shared" si="1"/>
        <v>38</v>
      </c>
      <c r="AK6" s="46">
        <f t="shared" si="1"/>
        <v>46</v>
      </c>
      <c r="AL6" s="46">
        <f t="shared" si="1"/>
        <v>3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22</v>
      </c>
      <c r="I7" s="40">
        <f t="shared" si="0"/>
        <v>39</v>
      </c>
      <c r="J7" s="66">
        <f t="shared" si="0"/>
        <v>56</v>
      </c>
      <c r="K7" s="43">
        <f t="shared" si="0"/>
        <v>5</v>
      </c>
      <c r="L7" s="40">
        <f t="shared" si="0"/>
        <v>20</v>
      </c>
      <c r="M7" s="40">
        <f t="shared" si="0"/>
        <v>35</v>
      </c>
      <c r="N7" s="66">
        <f t="shared" si="0"/>
        <v>67</v>
      </c>
      <c r="O7" s="43">
        <f t="shared" si="0"/>
        <v>5</v>
      </c>
      <c r="P7" s="40">
        <f t="shared" si="0"/>
        <v>18</v>
      </c>
      <c r="Q7" s="40">
        <f t="shared" si="0"/>
        <v>48</v>
      </c>
      <c r="R7" s="66">
        <f t="shared" si="0"/>
        <v>61</v>
      </c>
      <c r="S7" s="43">
        <f t="shared" si="0"/>
        <v>5</v>
      </c>
      <c r="T7" s="40">
        <f t="shared" si="0"/>
        <v>33</v>
      </c>
      <c r="U7" s="40">
        <f t="shared" si="0"/>
        <v>44</v>
      </c>
      <c r="V7" s="66">
        <f t="shared" si="0"/>
        <v>55</v>
      </c>
      <c r="W7" s="46">
        <f t="shared" si="1"/>
        <v>14</v>
      </c>
      <c r="X7" s="46">
        <f t="shared" si="1"/>
        <v>30</v>
      </c>
      <c r="Y7" s="46">
        <f t="shared" si="1"/>
        <v>46</v>
      </c>
      <c r="Z7" s="46">
        <f t="shared" si="1"/>
        <v>62</v>
      </c>
      <c r="AA7" s="46">
        <f t="shared" si="1"/>
        <v>14</v>
      </c>
      <c r="AB7" s="46">
        <f t="shared" si="1"/>
        <v>28</v>
      </c>
      <c r="AC7" s="46">
        <f t="shared" si="1"/>
        <v>59</v>
      </c>
      <c r="AD7" s="46">
        <f t="shared" si="1"/>
        <v>5</v>
      </c>
      <c r="AE7" s="46">
        <f t="shared" si="1"/>
        <v>14</v>
      </c>
      <c r="AF7" s="46">
        <f t="shared" si="1"/>
        <v>41</v>
      </c>
      <c r="AG7" s="46">
        <f t="shared" si="1"/>
        <v>51</v>
      </c>
      <c r="AH7" s="46">
        <f t="shared" si="1"/>
        <v>61</v>
      </c>
      <c r="AI7" s="46">
        <f t="shared" si="1"/>
        <v>14</v>
      </c>
      <c r="AJ7" s="46">
        <f t="shared" si="1"/>
        <v>39</v>
      </c>
      <c r="AK7" s="46">
        <f t="shared" si="1"/>
        <v>47</v>
      </c>
      <c r="AL7" s="46">
        <f t="shared" si="1"/>
        <v>4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23</v>
      </c>
      <c r="I8" s="40">
        <f t="shared" si="0"/>
        <v>40</v>
      </c>
      <c r="J8" s="66">
        <f t="shared" si="0"/>
        <v>57</v>
      </c>
      <c r="K8" s="43">
        <f t="shared" si="0"/>
        <v>6</v>
      </c>
      <c r="L8" s="40">
        <f t="shared" si="0"/>
        <v>21</v>
      </c>
      <c r="M8" s="40">
        <f t="shared" si="0"/>
        <v>36</v>
      </c>
      <c r="N8" s="66">
        <f t="shared" si="0"/>
        <v>68</v>
      </c>
      <c r="O8" s="43">
        <f t="shared" si="0"/>
        <v>6</v>
      </c>
      <c r="P8" s="40">
        <f t="shared" si="0"/>
        <v>19</v>
      </c>
      <c r="Q8" s="40">
        <f t="shared" si="0"/>
        <v>49</v>
      </c>
      <c r="R8" s="66">
        <f t="shared" si="0"/>
        <v>62</v>
      </c>
      <c r="S8" s="43">
        <f t="shared" si="0"/>
        <v>6</v>
      </c>
      <c r="T8" s="40">
        <f t="shared" si="0"/>
        <v>34</v>
      </c>
      <c r="U8" s="40">
        <f t="shared" si="0"/>
        <v>45</v>
      </c>
      <c r="V8" s="66">
        <f t="shared" si="0"/>
        <v>56</v>
      </c>
      <c r="W8" s="46">
        <f t="shared" si="1"/>
        <v>15</v>
      </c>
      <c r="X8" s="46">
        <f t="shared" si="1"/>
        <v>31</v>
      </c>
      <c r="Y8" s="46">
        <f t="shared" si="1"/>
        <v>47</v>
      </c>
      <c r="Z8" s="46">
        <f t="shared" si="1"/>
        <v>63</v>
      </c>
      <c r="AA8" s="46">
        <f t="shared" si="1"/>
        <v>15</v>
      </c>
      <c r="AB8" s="46">
        <f t="shared" si="1"/>
        <v>29</v>
      </c>
      <c r="AC8" s="46">
        <f t="shared" si="1"/>
        <v>60</v>
      </c>
      <c r="AD8" s="46">
        <f t="shared" si="1"/>
        <v>6</v>
      </c>
      <c r="AE8" s="46">
        <f t="shared" si="1"/>
        <v>15</v>
      </c>
      <c r="AF8" s="46">
        <f t="shared" si="1"/>
        <v>42</v>
      </c>
      <c r="AG8" s="46">
        <f t="shared" si="1"/>
        <v>52</v>
      </c>
      <c r="AH8" s="46">
        <f t="shared" si="1"/>
        <v>62</v>
      </c>
      <c r="AI8" s="46">
        <f t="shared" si="1"/>
        <v>15</v>
      </c>
      <c r="AJ8" s="46">
        <f t="shared" si="1"/>
        <v>40</v>
      </c>
      <c r="AK8" s="46">
        <f t="shared" si="1"/>
        <v>48</v>
      </c>
      <c r="AL8" s="46">
        <f t="shared" si="1"/>
        <v>5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24</v>
      </c>
      <c r="I9" s="40">
        <f t="shared" si="0"/>
        <v>41</v>
      </c>
      <c r="J9" s="66">
        <f t="shared" si="0"/>
        <v>58</v>
      </c>
      <c r="K9" s="43">
        <f t="shared" si="0"/>
        <v>7</v>
      </c>
      <c r="L9" s="40">
        <f t="shared" si="0"/>
        <v>22</v>
      </c>
      <c r="M9" s="40">
        <f t="shared" si="0"/>
        <v>37</v>
      </c>
      <c r="N9" s="66">
        <f t="shared" si="0"/>
        <v>52</v>
      </c>
      <c r="O9" s="43">
        <f t="shared" si="0"/>
        <v>7</v>
      </c>
      <c r="P9" s="40">
        <f t="shared" si="0"/>
        <v>20</v>
      </c>
      <c r="Q9" s="40">
        <f t="shared" si="0"/>
        <v>50</v>
      </c>
      <c r="R9" s="66">
        <f t="shared" si="0"/>
        <v>63</v>
      </c>
      <c r="S9" s="43">
        <f t="shared" si="0"/>
        <v>7</v>
      </c>
      <c r="T9" s="40">
        <f t="shared" si="0"/>
        <v>18</v>
      </c>
      <c r="U9" s="40">
        <f t="shared" si="0"/>
        <v>46</v>
      </c>
      <c r="V9" s="66">
        <f t="shared" si="0"/>
        <v>57</v>
      </c>
      <c r="W9" s="46">
        <f t="shared" si="1"/>
        <v>16</v>
      </c>
      <c r="X9" s="46">
        <f t="shared" si="1"/>
        <v>32</v>
      </c>
      <c r="Y9" s="46">
        <f t="shared" si="1"/>
        <v>48</v>
      </c>
      <c r="Z9" s="46">
        <f t="shared" si="1"/>
        <v>64</v>
      </c>
      <c r="AA9" s="46">
        <f t="shared" si="1"/>
        <v>16</v>
      </c>
      <c r="AB9" s="46">
        <f t="shared" si="1"/>
        <v>30</v>
      </c>
      <c r="AC9" s="46">
        <f t="shared" si="1"/>
        <v>44</v>
      </c>
      <c r="AD9" s="46">
        <f t="shared" si="1"/>
        <v>7</v>
      </c>
      <c r="AE9" s="46">
        <f t="shared" si="1"/>
        <v>16</v>
      </c>
      <c r="AF9" s="46">
        <f t="shared" si="1"/>
        <v>43</v>
      </c>
      <c r="AG9" s="46">
        <f t="shared" si="1"/>
        <v>53</v>
      </c>
      <c r="AH9" s="46">
        <f t="shared" si="1"/>
        <v>63</v>
      </c>
      <c r="AI9" s="46">
        <f t="shared" si="1"/>
        <v>16</v>
      </c>
      <c r="AJ9" s="46">
        <f t="shared" si="1"/>
        <v>41</v>
      </c>
      <c r="AK9" s="46">
        <f t="shared" si="1"/>
        <v>49</v>
      </c>
      <c r="AL9" s="46">
        <f t="shared" si="1"/>
        <v>6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25</v>
      </c>
      <c r="I10" s="40">
        <f t="shared" si="0"/>
        <v>42</v>
      </c>
      <c r="J10" s="66">
        <f t="shared" si="0"/>
        <v>59</v>
      </c>
      <c r="K10" s="43">
        <f t="shared" si="0"/>
        <v>8</v>
      </c>
      <c r="L10" s="40">
        <f t="shared" si="0"/>
        <v>23</v>
      </c>
      <c r="M10" s="40">
        <f t="shared" si="0"/>
        <v>38</v>
      </c>
      <c r="N10" s="66">
        <f t="shared" si="0"/>
        <v>53</v>
      </c>
      <c r="O10" s="43">
        <f t="shared" si="0"/>
        <v>8</v>
      </c>
      <c r="P10" s="40">
        <f t="shared" si="0"/>
        <v>21</v>
      </c>
      <c r="Q10" s="40">
        <f t="shared" si="0"/>
        <v>51</v>
      </c>
      <c r="R10" s="66">
        <f t="shared" si="0"/>
        <v>64</v>
      </c>
      <c r="S10" s="43">
        <f t="shared" si="0"/>
        <v>8</v>
      </c>
      <c r="T10" s="40">
        <f t="shared" si="0"/>
        <v>19</v>
      </c>
      <c r="U10" s="40">
        <f t="shared" si="0"/>
        <v>47</v>
      </c>
      <c r="V10" s="66">
        <f t="shared" si="0"/>
        <v>58</v>
      </c>
      <c r="W10" s="46">
        <f t="shared" si="1"/>
        <v>17</v>
      </c>
      <c r="X10" s="46">
        <f t="shared" si="1"/>
        <v>33</v>
      </c>
      <c r="Y10" s="46">
        <f t="shared" si="1"/>
        <v>49</v>
      </c>
      <c r="Z10" s="46">
        <f t="shared" si="1"/>
        <v>65</v>
      </c>
      <c r="AA10" s="46">
        <f t="shared" si="1"/>
        <v>17</v>
      </c>
      <c r="AB10" s="46">
        <f t="shared" si="1"/>
        <v>31</v>
      </c>
      <c r="AC10" s="46">
        <f t="shared" si="1"/>
        <v>45</v>
      </c>
      <c r="AD10" s="46">
        <f t="shared" si="1"/>
        <v>8</v>
      </c>
      <c r="AE10" s="46">
        <f t="shared" si="1"/>
        <v>17</v>
      </c>
      <c r="AF10" s="46">
        <f t="shared" si="1"/>
        <v>27</v>
      </c>
      <c r="AG10" s="46">
        <f t="shared" si="1"/>
        <v>54</v>
      </c>
      <c r="AH10" s="46">
        <f t="shared" si="1"/>
        <v>64</v>
      </c>
      <c r="AI10" s="46">
        <f t="shared" si="1"/>
        <v>17</v>
      </c>
      <c r="AJ10" s="46">
        <f t="shared" si="1"/>
        <v>42</v>
      </c>
      <c r="AK10" s="46">
        <f t="shared" si="1"/>
        <v>50</v>
      </c>
      <c r="AL10" s="46">
        <f t="shared" si="1"/>
        <v>7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26</v>
      </c>
      <c r="I11" s="40">
        <f t="shared" si="0"/>
        <v>43</v>
      </c>
      <c r="J11" s="66">
        <f t="shared" si="0"/>
        <v>60</v>
      </c>
      <c r="K11" s="43">
        <f t="shared" si="0"/>
        <v>9</v>
      </c>
      <c r="L11" s="40">
        <f t="shared" si="0"/>
        <v>24</v>
      </c>
      <c r="M11" s="40">
        <f t="shared" si="0"/>
        <v>39</v>
      </c>
      <c r="N11" s="66">
        <f t="shared" si="0"/>
        <v>54</v>
      </c>
      <c r="O11" s="43">
        <f t="shared" si="0"/>
        <v>9</v>
      </c>
      <c r="P11" s="40">
        <f t="shared" si="0"/>
        <v>22</v>
      </c>
      <c r="Q11" s="40">
        <f t="shared" si="0"/>
        <v>35</v>
      </c>
      <c r="R11" s="66">
        <f t="shared" si="0"/>
        <v>65</v>
      </c>
      <c r="S11" s="43">
        <f t="shared" si="0"/>
        <v>9</v>
      </c>
      <c r="T11" s="40">
        <f t="shared" si="0"/>
        <v>20</v>
      </c>
      <c r="U11" s="40">
        <f t="shared" si="0"/>
        <v>48</v>
      </c>
      <c r="V11" s="66">
        <f t="shared" si="0"/>
        <v>59</v>
      </c>
      <c r="W11" s="46">
        <f t="shared" si="1"/>
        <v>18</v>
      </c>
      <c r="X11" s="46">
        <f t="shared" si="1"/>
        <v>34</v>
      </c>
      <c r="Y11" s="46">
        <f t="shared" si="1"/>
        <v>50</v>
      </c>
      <c r="Z11" s="46">
        <f t="shared" si="1"/>
        <v>66</v>
      </c>
      <c r="AA11" s="46">
        <f t="shared" si="1"/>
        <v>18</v>
      </c>
      <c r="AB11" s="46">
        <f t="shared" si="1"/>
        <v>32</v>
      </c>
      <c r="AC11" s="46">
        <f t="shared" si="1"/>
        <v>46</v>
      </c>
      <c r="AD11" s="46">
        <f t="shared" si="1"/>
        <v>9</v>
      </c>
      <c r="AE11" s="46">
        <f t="shared" si="1"/>
        <v>18</v>
      </c>
      <c r="AF11" s="46">
        <f t="shared" si="1"/>
        <v>28</v>
      </c>
      <c r="AG11" s="46">
        <f t="shared" si="1"/>
        <v>55</v>
      </c>
      <c r="AH11" s="46">
        <f t="shared" si="1"/>
        <v>65</v>
      </c>
      <c r="AI11" s="46">
        <f t="shared" si="1"/>
        <v>18</v>
      </c>
      <c r="AJ11" s="46">
        <f t="shared" si="1"/>
        <v>43</v>
      </c>
      <c r="AK11" s="46">
        <f t="shared" si="1"/>
        <v>51</v>
      </c>
      <c r="AL11" s="46">
        <f t="shared" si="1"/>
        <v>8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27</v>
      </c>
      <c r="I12" s="40">
        <f t="shared" si="0"/>
        <v>44</v>
      </c>
      <c r="J12" s="66">
        <f t="shared" si="0"/>
        <v>61</v>
      </c>
      <c r="K12" s="43">
        <f t="shared" si="0"/>
        <v>10</v>
      </c>
      <c r="L12" s="40">
        <f t="shared" si="0"/>
        <v>25</v>
      </c>
      <c r="M12" s="40">
        <f t="shared" si="0"/>
        <v>40</v>
      </c>
      <c r="N12" s="66">
        <f t="shared" si="0"/>
        <v>55</v>
      </c>
      <c r="O12" s="43">
        <f t="shared" si="0"/>
        <v>10</v>
      </c>
      <c r="P12" s="40">
        <f t="shared" si="0"/>
        <v>23</v>
      </c>
      <c r="Q12" s="40">
        <f t="shared" si="0"/>
        <v>36</v>
      </c>
      <c r="R12" s="66">
        <f t="shared" si="0"/>
        <v>66</v>
      </c>
      <c r="S12" s="43">
        <f t="shared" si="0"/>
        <v>10</v>
      </c>
      <c r="T12" s="40">
        <f t="shared" si="0"/>
        <v>21</v>
      </c>
      <c r="U12" s="40">
        <f t="shared" si="0"/>
        <v>49</v>
      </c>
      <c r="V12" s="66">
        <f t="shared" si="0"/>
        <v>60</v>
      </c>
      <c r="W12" s="46">
        <f t="shared" si="1"/>
        <v>19</v>
      </c>
      <c r="X12" s="46">
        <f t="shared" si="1"/>
        <v>35</v>
      </c>
      <c r="Y12" s="46">
        <f t="shared" si="1"/>
        <v>51</v>
      </c>
      <c r="Z12" s="46">
        <f t="shared" si="1"/>
        <v>67</v>
      </c>
      <c r="AA12" s="46">
        <f t="shared" si="1"/>
        <v>19</v>
      </c>
      <c r="AB12" s="46">
        <f t="shared" si="1"/>
        <v>33</v>
      </c>
      <c r="AC12" s="46">
        <f t="shared" si="1"/>
        <v>47</v>
      </c>
      <c r="AD12" s="46">
        <f t="shared" si="1"/>
        <v>61</v>
      </c>
      <c r="AE12" s="46">
        <f t="shared" si="1"/>
        <v>19</v>
      </c>
      <c r="AF12" s="46">
        <f t="shared" si="1"/>
        <v>29</v>
      </c>
      <c r="AG12" s="46">
        <f t="shared" si="1"/>
        <v>56</v>
      </c>
      <c r="AH12" s="46">
        <f t="shared" si="1"/>
        <v>66</v>
      </c>
      <c r="AI12" s="46">
        <f t="shared" si="1"/>
        <v>19</v>
      </c>
      <c r="AJ12" s="46">
        <f t="shared" si="1"/>
        <v>27</v>
      </c>
      <c r="AK12" s="46">
        <f t="shared" si="1"/>
        <v>52</v>
      </c>
      <c r="AL12" s="46">
        <f t="shared" si="1"/>
        <v>9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28</v>
      </c>
      <c r="I13" s="40">
        <f t="shared" si="0"/>
        <v>45</v>
      </c>
      <c r="J13" s="66">
        <f t="shared" si="0"/>
        <v>62</v>
      </c>
      <c r="K13" s="43">
        <f t="shared" si="0"/>
        <v>11</v>
      </c>
      <c r="L13" s="40">
        <f t="shared" si="0"/>
        <v>26</v>
      </c>
      <c r="M13" s="40">
        <f t="shared" si="0"/>
        <v>41</v>
      </c>
      <c r="N13" s="66">
        <f t="shared" si="0"/>
        <v>56</v>
      </c>
      <c r="O13" s="43">
        <f t="shared" si="0"/>
        <v>11</v>
      </c>
      <c r="P13" s="40">
        <f t="shared" si="0"/>
        <v>24</v>
      </c>
      <c r="Q13" s="40">
        <f t="shared" si="0"/>
        <v>37</v>
      </c>
      <c r="R13" s="66">
        <f t="shared" si="0"/>
        <v>67</v>
      </c>
      <c r="S13" s="43">
        <f t="shared" si="0"/>
        <v>11</v>
      </c>
      <c r="T13" s="40">
        <f t="shared" si="0"/>
        <v>22</v>
      </c>
      <c r="U13" s="40">
        <f t="shared" si="0"/>
        <v>50</v>
      </c>
      <c r="V13" s="66">
        <f t="shared" si="0"/>
        <v>61</v>
      </c>
      <c r="W13" s="46">
        <f t="shared" si="1"/>
        <v>20</v>
      </c>
      <c r="X13" s="46">
        <f t="shared" si="1"/>
        <v>36</v>
      </c>
      <c r="Y13" s="46">
        <f t="shared" si="1"/>
        <v>52</v>
      </c>
      <c r="Z13" s="46">
        <f t="shared" si="1"/>
        <v>68</v>
      </c>
      <c r="AA13" s="46">
        <f t="shared" si="1"/>
        <v>20</v>
      </c>
      <c r="AB13" s="46">
        <f t="shared" si="1"/>
        <v>34</v>
      </c>
      <c r="AC13" s="46">
        <f t="shared" si="1"/>
        <v>48</v>
      </c>
      <c r="AD13" s="46">
        <f t="shared" si="1"/>
        <v>62</v>
      </c>
      <c r="AE13" s="46">
        <f t="shared" si="1"/>
        <v>20</v>
      </c>
      <c r="AF13" s="46">
        <f t="shared" si="1"/>
        <v>30</v>
      </c>
      <c r="AG13" s="46">
        <f t="shared" si="1"/>
        <v>57</v>
      </c>
      <c r="AH13" s="46">
        <f t="shared" si="1"/>
        <v>67</v>
      </c>
      <c r="AI13" s="46">
        <f t="shared" si="1"/>
        <v>20</v>
      </c>
      <c r="AJ13" s="46">
        <f t="shared" si="1"/>
        <v>28</v>
      </c>
      <c r="AK13" s="46">
        <f t="shared" si="1"/>
        <v>53</v>
      </c>
      <c r="AL13" s="46">
        <f t="shared" si="1"/>
        <v>61</v>
      </c>
    </row>
    <row r="14" spans="1:38" x14ac:dyDescent="0.35">
      <c r="A14" s="18">
        <v>11</v>
      </c>
      <c r="B14" s="19" t="s">
        <v>18</v>
      </c>
      <c r="D14">
        <f>$B$2/$C$2-$E$2/2+1</f>
        <v>12</v>
      </c>
      <c r="E14">
        <f>$B$2/$C$2+$E$2/2</f>
        <v>23</v>
      </c>
      <c r="G14" s="43">
        <f t="shared" si="0"/>
        <v>12</v>
      </c>
      <c r="H14" s="40">
        <f t="shared" si="0"/>
        <v>29</v>
      </c>
      <c r="I14" s="40">
        <f t="shared" si="0"/>
        <v>46</v>
      </c>
      <c r="J14" s="66">
        <f t="shared" si="0"/>
        <v>63</v>
      </c>
      <c r="K14" s="43">
        <f t="shared" si="0"/>
        <v>12</v>
      </c>
      <c r="L14" s="40">
        <f t="shared" si="0"/>
        <v>27</v>
      </c>
      <c r="M14" s="40">
        <f t="shared" si="0"/>
        <v>42</v>
      </c>
      <c r="N14" s="66">
        <f t="shared" si="0"/>
        <v>57</v>
      </c>
      <c r="O14" s="43">
        <f t="shared" si="0"/>
        <v>12</v>
      </c>
      <c r="P14" s="40">
        <f t="shared" si="0"/>
        <v>25</v>
      </c>
      <c r="Q14" s="40">
        <f t="shared" si="0"/>
        <v>38</v>
      </c>
      <c r="R14" s="66">
        <f t="shared" si="0"/>
        <v>68</v>
      </c>
      <c r="S14" s="43">
        <f t="shared" si="0"/>
        <v>12</v>
      </c>
      <c r="T14" s="40">
        <f t="shared" si="0"/>
        <v>23</v>
      </c>
      <c r="U14" s="40">
        <f t="shared" si="0"/>
        <v>51</v>
      </c>
      <c r="V14" s="66">
        <f t="shared" si="0"/>
        <v>62</v>
      </c>
      <c r="W14" s="46">
        <f t="shared" si="1"/>
        <v>21</v>
      </c>
      <c r="X14" s="46">
        <f t="shared" si="1"/>
        <v>37</v>
      </c>
      <c r="Y14" s="46">
        <f t="shared" si="1"/>
        <v>53</v>
      </c>
      <c r="Z14" s="46">
        <f t="shared" si="1"/>
        <v>1</v>
      </c>
      <c r="AA14" s="46">
        <f t="shared" si="1"/>
        <v>21</v>
      </c>
      <c r="AB14" s="46">
        <f t="shared" si="1"/>
        <v>35</v>
      </c>
      <c r="AC14" s="46">
        <f t="shared" si="1"/>
        <v>49</v>
      </c>
      <c r="AD14" s="46">
        <f t="shared" si="1"/>
        <v>63</v>
      </c>
      <c r="AE14" s="46">
        <f t="shared" si="1"/>
        <v>21</v>
      </c>
      <c r="AF14" s="46">
        <f t="shared" si="1"/>
        <v>31</v>
      </c>
      <c r="AG14" s="46">
        <f t="shared" si="1"/>
        <v>58</v>
      </c>
      <c r="AH14" s="46">
        <f t="shared" si="1"/>
        <v>68</v>
      </c>
      <c r="AI14" s="46">
        <f t="shared" si="1"/>
        <v>21</v>
      </c>
      <c r="AJ14" s="46">
        <f t="shared" si="1"/>
        <v>29</v>
      </c>
      <c r="AK14" s="46">
        <f t="shared" si="1"/>
        <v>54</v>
      </c>
      <c r="AL14" s="46">
        <f t="shared" si="1"/>
        <v>62</v>
      </c>
    </row>
    <row r="15" spans="1:38" x14ac:dyDescent="0.35">
      <c r="A15" s="18">
        <v>12</v>
      </c>
      <c r="B15" s="19" t="s">
        <v>18</v>
      </c>
      <c r="D15">
        <f>2*$B$2/$C$2-$E$2/2+1</f>
        <v>29</v>
      </c>
      <c r="E15">
        <f>2*$B$2/$C$2+$E$2/2</f>
        <v>40</v>
      </c>
      <c r="G15" s="43">
        <f t="shared" si="0"/>
        <v>13</v>
      </c>
      <c r="H15" s="40">
        <f t="shared" si="0"/>
        <v>30</v>
      </c>
      <c r="I15" s="40">
        <f t="shared" si="0"/>
        <v>47</v>
      </c>
      <c r="J15" s="66">
        <f t="shared" si="0"/>
        <v>64</v>
      </c>
      <c r="K15" s="43">
        <f t="shared" si="0"/>
        <v>13</v>
      </c>
      <c r="L15" s="40">
        <f t="shared" si="0"/>
        <v>28</v>
      </c>
      <c r="M15" s="40">
        <f t="shared" si="0"/>
        <v>43</v>
      </c>
      <c r="N15" s="66">
        <f t="shared" si="0"/>
        <v>58</v>
      </c>
      <c r="O15" s="43">
        <f t="shared" si="0"/>
        <v>13</v>
      </c>
      <c r="P15" s="40">
        <f t="shared" si="0"/>
        <v>26</v>
      </c>
      <c r="Q15" s="40">
        <f t="shared" si="0"/>
        <v>39</v>
      </c>
      <c r="R15" s="66">
        <f t="shared" si="0"/>
        <v>52</v>
      </c>
      <c r="S15" s="43">
        <f t="shared" si="0"/>
        <v>13</v>
      </c>
      <c r="T15" s="40">
        <f t="shared" si="0"/>
        <v>24</v>
      </c>
      <c r="U15" s="40">
        <f t="shared" si="0"/>
        <v>35</v>
      </c>
      <c r="V15" s="66">
        <f t="shared" si="0"/>
        <v>63</v>
      </c>
      <c r="W15" s="46">
        <f t="shared" si="1"/>
        <v>22</v>
      </c>
      <c r="X15" s="46">
        <f t="shared" si="1"/>
        <v>38</v>
      </c>
      <c r="Y15" s="46">
        <f t="shared" si="1"/>
        <v>54</v>
      </c>
      <c r="Z15" s="46">
        <f t="shared" si="1"/>
        <v>2</v>
      </c>
      <c r="AA15" s="46">
        <f t="shared" si="1"/>
        <v>22</v>
      </c>
      <c r="AB15" s="46">
        <f t="shared" si="1"/>
        <v>36</v>
      </c>
      <c r="AC15" s="46">
        <f t="shared" si="1"/>
        <v>50</v>
      </c>
      <c r="AD15" s="46">
        <f t="shared" si="1"/>
        <v>64</v>
      </c>
      <c r="AE15" s="46">
        <f t="shared" si="1"/>
        <v>22</v>
      </c>
      <c r="AF15" s="46">
        <f t="shared" si="1"/>
        <v>32</v>
      </c>
      <c r="AG15" s="46">
        <f t="shared" si="1"/>
        <v>59</v>
      </c>
      <c r="AH15" s="46">
        <f t="shared" si="1"/>
        <v>1</v>
      </c>
      <c r="AI15" s="46">
        <f t="shared" si="1"/>
        <v>22</v>
      </c>
      <c r="AJ15" s="46">
        <f t="shared" si="1"/>
        <v>30</v>
      </c>
      <c r="AK15" s="46">
        <f t="shared" si="1"/>
        <v>55</v>
      </c>
      <c r="AL15" s="46">
        <f t="shared" si="1"/>
        <v>63</v>
      </c>
    </row>
    <row r="16" spans="1:38" x14ac:dyDescent="0.35">
      <c r="A16" s="18">
        <v>13</v>
      </c>
      <c r="B16" s="19" t="s">
        <v>18</v>
      </c>
      <c r="D16">
        <f>3*$B$2/$C$2-$E$2/2+1</f>
        <v>46</v>
      </c>
      <c r="E16">
        <f>3*$B$2/$C$2+$E$2/2</f>
        <v>57</v>
      </c>
      <c r="G16" s="43">
        <f t="shared" si="0"/>
        <v>14</v>
      </c>
      <c r="H16" s="40">
        <f t="shared" si="0"/>
        <v>31</v>
      </c>
      <c r="I16" s="40">
        <f t="shared" si="0"/>
        <v>48</v>
      </c>
      <c r="J16" s="66">
        <f t="shared" si="0"/>
        <v>65</v>
      </c>
      <c r="K16" s="43">
        <f t="shared" si="0"/>
        <v>14</v>
      </c>
      <c r="L16" s="40">
        <f t="shared" si="0"/>
        <v>29</v>
      </c>
      <c r="M16" s="40">
        <f t="shared" si="0"/>
        <v>44</v>
      </c>
      <c r="N16" s="66">
        <f t="shared" si="0"/>
        <v>59</v>
      </c>
      <c r="O16" s="43">
        <f t="shared" si="0"/>
        <v>14</v>
      </c>
      <c r="P16" s="40">
        <f t="shared" si="0"/>
        <v>27</v>
      </c>
      <c r="Q16" s="40">
        <f t="shared" si="0"/>
        <v>40</v>
      </c>
      <c r="R16" s="66">
        <f t="shared" si="0"/>
        <v>53</v>
      </c>
      <c r="S16" s="43">
        <f t="shared" si="0"/>
        <v>14</v>
      </c>
      <c r="T16" s="40">
        <f t="shared" si="0"/>
        <v>25</v>
      </c>
      <c r="U16" s="40">
        <f t="shared" si="0"/>
        <v>36</v>
      </c>
      <c r="V16" s="66">
        <f t="shared" si="0"/>
        <v>64</v>
      </c>
      <c r="W16" s="46">
        <f t="shared" si="1"/>
        <v>23</v>
      </c>
      <c r="X16" s="46">
        <f t="shared" si="1"/>
        <v>39</v>
      </c>
      <c r="Y16" s="46">
        <f t="shared" si="1"/>
        <v>55</v>
      </c>
      <c r="Z16" s="46">
        <f t="shared" si="1"/>
        <v>3</v>
      </c>
      <c r="AA16" s="46">
        <f t="shared" si="1"/>
        <v>23</v>
      </c>
      <c r="AB16" s="46">
        <f t="shared" si="1"/>
        <v>37</v>
      </c>
      <c r="AC16" s="46">
        <f t="shared" si="1"/>
        <v>51</v>
      </c>
      <c r="AD16" s="46">
        <f t="shared" si="1"/>
        <v>65</v>
      </c>
      <c r="AE16" s="46">
        <f t="shared" si="1"/>
        <v>23</v>
      </c>
      <c r="AF16" s="46">
        <f t="shared" si="1"/>
        <v>33</v>
      </c>
      <c r="AG16" s="46">
        <f t="shared" si="1"/>
        <v>60</v>
      </c>
      <c r="AH16" s="46">
        <f t="shared" si="1"/>
        <v>2</v>
      </c>
      <c r="AI16" s="46">
        <f t="shared" si="1"/>
        <v>23</v>
      </c>
      <c r="AJ16" s="46">
        <f t="shared" si="1"/>
        <v>31</v>
      </c>
      <c r="AK16" s="46">
        <f t="shared" si="1"/>
        <v>56</v>
      </c>
      <c r="AL16" s="46">
        <f t="shared" si="1"/>
        <v>64</v>
      </c>
    </row>
    <row r="17" spans="1:38" x14ac:dyDescent="0.35">
      <c r="A17" s="3">
        <v>14</v>
      </c>
      <c r="B17" s="22" t="s">
        <v>19</v>
      </c>
      <c r="D17">
        <f>$B$2-2</f>
        <v>66</v>
      </c>
      <c r="E17">
        <f>$B$2</f>
        <v>68</v>
      </c>
      <c r="G17" s="43">
        <f t="shared" si="0"/>
        <v>15</v>
      </c>
      <c r="H17" s="40">
        <f t="shared" si="0"/>
        <v>32</v>
      </c>
      <c r="I17" s="40">
        <f t="shared" si="0"/>
        <v>49</v>
      </c>
      <c r="J17" s="66">
        <f t="shared" si="0"/>
        <v>66</v>
      </c>
      <c r="K17" s="43">
        <f t="shared" si="0"/>
        <v>15</v>
      </c>
      <c r="L17" s="40">
        <f t="shared" si="0"/>
        <v>30</v>
      </c>
      <c r="M17" s="40">
        <f t="shared" si="0"/>
        <v>45</v>
      </c>
      <c r="N17" s="66">
        <f t="shared" si="0"/>
        <v>60</v>
      </c>
      <c r="O17" s="43">
        <f t="shared" si="0"/>
        <v>15</v>
      </c>
      <c r="P17" s="40">
        <f t="shared" si="0"/>
        <v>28</v>
      </c>
      <c r="Q17" s="40">
        <f t="shared" si="0"/>
        <v>41</v>
      </c>
      <c r="R17" s="66">
        <f t="shared" si="0"/>
        <v>54</v>
      </c>
      <c r="S17" s="43">
        <f t="shared" si="0"/>
        <v>15</v>
      </c>
      <c r="T17" s="40">
        <f t="shared" si="0"/>
        <v>26</v>
      </c>
      <c r="U17" s="40">
        <f t="shared" si="0"/>
        <v>37</v>
      </c>
      <c r="V17" s="66">
        <f t="shared" si="0"/>
        <v>65</v>
      </c>
      <c r="W17" s="46">
        <f t="shared" si="1"/>
        <v>24</v>
      </c>
      <c r="X17" s="46">
        <f t="shared" si="1"/>
        <v>40</v>
      </c>
      <c r="Y17" s="46">
        <f t="shared" si="1"/>
        <v>56</v>
      </c>
      <c r="Z17" s="46">
        <f t="shared" si="1"/>
        <v>4</v>
      </c>
      <c r="AA17" s="46">
        <f t="shared" si="1"/>
        <v>24</v>
      </c>
      <c r="AB17" s="46">
        <f t="shared" si="1"/>
        <v>38</v>
      </c>
      <c r="AC17" s="46">
        <f t="shared" si="1"/>
        <v>52</v>
      </c>
      <c r="AD17" s="46">
        <f t="shared" si="1"/>
        <v>66</v>
      </c>
      <c r="AE17" s="46">
        <f t="shared" si="1"/>
        <v>24</v>
      </c>
      <c r="AF17" s="46">
        <f t="shared" si="1"/>
        <v>34</v>
      </c>
      <c r="AG17" s="46">
        <f t="shared" si="1"/>
        <v>44</v>
      </c>
      <c r="AH17" s="46">
        <f t="shared" si="1"/>
        <v>3</v>
      </c>
      <c r="AI17" s="46">
        <f t="shared" si="1"/>
        <v>24</v>
      </c>
      <c r="AJ17" s="46">
        <f t="shared" si="1"/>
        <v>32</v>
      </c>
      <c r="AK17" s="46">
        <f t="shared" si="1"/>
        <v>57</v>
      </c>
      <c r="AL17" s="46">
        <f t="shared" si="1"/>
        <v>65</v>
      </c>
    </row>
    <row r="18" spans="1:38" x14ac:dyDescent="0.35">
      <c r="A18" s="3">
        <v>15</v>
      </c>
      <c r="B18" s="22" t="s">
        <v>19</v>
      </c>
      <c r="G18" s="43">
        <f t="shared" si="0"/>
        <v>16</v>
      </c>
      <c r="H18" s="40">
        <f t="shared" si="0"/>
        <v>33</v>
      </c>
      <c r="I18" s="40">
        <f t="shared" si="0"/>
        <v>50</v>
      </c>
      <c r="J18" s="66">
        <f t="shared" si="0"/>
        <v>67</v>
      </c>
      <c r="K18" s="43">
        <f t="shared" si="0"/>
        <v>16</v>
      </c>
      <c r="L18" s="40">
        <f t="shared" si="0"/>
        <v>31</v>
      </c>
      <c r="M18" s="40">
        <f t="shared" si="0"/>
        <v>46</v>
      </c>
      <c r="N18" s="66">
        <f t="shared" si="0"/>
        <v>61</v>
      </c>
      <c r="O18" s="43">
        <f t="shared" si="0"/>
        <v>16</v>
      </c>
      <c r="P18" s="40">
        <f t="shared" si="0"/>
        <v>29</v>
      </c>
      <c r="Q18" s="40">
        <f t="shared" si="0"/>
        <v>42</v>
      </c>
      <c r="R18" s="66">
        <f t="shared" si="0"/>
        <v>55</v>
      </c>
      <c r="S18" s="43">
        <f t="shared" si="0"/>
        <v>16</v>
      </c>
      <c r="T18" s="40">
        <f t="shared" si="0"/>
        <v>27</v>
      </c>
      <c r="U18" s="40">
        <f t="shared" si="0"/>
        <v>38</v>
      </c>
      <c r="V18" s="66">
        <f t="shared" ref="V18:V19" si="2">MOD($A18-V$1*V$2,$B$2/4)+V$2*$B$2/4+1</f>
        <v>66</v>
      </c>
      <c r="W18" s="46">
        <f t="shared" si="1"/>
        <v>25</v>
      </c>
      <c r="X18" s="46">
        <f t="shared" si="1"/>
        <v>41</v>
      </c>
      <c r="Y18" s="46">
        <f t="shared" si="1"/>
        <v>57</v>
      </c>
      <c r="Z18" s="46">
        <f t="shared" si="1"/>
        <v>5</v>
      </c>
      <c r="AA18" s="46">
        <f t="shared" si="1"/>
        <v>25</v>
      </c>
      <c r="AB18" s="46">
        <f t="shared" si="1"/>
        <v>39</v>
      </c>
      <c r="AC18" s="46">
        <f t="shared" si="1"/>
        <v>53</v>
      </c>
      <c r="AD18" s="46">
        <f t="shared" si="1"/>
        <v>67</v>
      </c>
      <c r="AE18" s="46">
        <f t="shared" si="1"/>
        <v>25</v>
      </c>
      <c r="AF18" s="46">
        <f t="shared" si="1"/>
        <v>35</v>
      </c>
      <c r="AG18" s="46">
        <f t="shared" si="1"/>
        <v>45</v>
      </c>
      <c r="AH18" s="46">
        <f t="shared" si="1"/>
        <v>4</v>
      </c>
      <c r="AI18" s="46">
        <f t="shared" si="1"/>
        <v>25</v>
      </c>
      <c r="AJ18" s="46">
        <f t="shared" si="1"/>
        <v>33</v>
      </c>
      <c r="AK18" s="46">
        <f t="shared" si="1"/>
        <v>58</v>
      </c>
      <c r="AL18" s="46">
        <f t="shared" ref="AL18:AL19" si="3">MOD(MOD($A18-AL$1*AL$2,$B$2/4)+AL$2*$B$2/4+ROUND($B$2/8,0),$B$2)+1</f>
        <v>66</v>
      </c>
    </row>
    <row r="19" spans="1:38" x14ac:dyDescent="0.35">
      <c r="A19" s="3">
        <v>16</v>
      </c>
      <c r="B19" s="22" t="s">
        <v>19</v>
      </c>
      <c r="D19">
        <f>$B$2/$C$2-$E$2/2+$B$2/8+1</f>
        <v>20.5</v>
      </c>
      <c r="E19">
        <f>ROUND($B$2/$C$2+$E$2/2+$B$2/8,0)</f>
        <v>32</v>
      </c>
      <c r="G19" s="43">
        <f t="shared" ref="G19:U19" si="4">MOD($A19-G$1*G$2,$B$2/4)+G$2*$B$2/4+1</f>
        <v>17</v>
      </c>
      <c r="H19" s="40">
        <f t="shared" si="4"/>
        <v>34</v>
      </c>
      <c r="I19" s="40">
        <f t="shared" si="4"/>
        <v>51</v>
      </c>
      <c r="J19" s="66">
        <f t="shared" si="4"/>
        <v>68</v>
      </c>
      <c r="K19" s="43">
        <f t="shared" si="4"/>
        <v>17</v>
      </c>
      <c r="L19" s="40">
        <f t="shared" si="4"/>
        <v>32</v>
      </c>
      <c r="M19" s="40">
        <f t="shared" si="4"/>
        <v>47</v>
      </c>
      <c r="N19" s="66">
        <f t="shared" si="4"/>
        <v>62</v>
      </c>
      <c r="O19" s="43">
        <f t="shared" si="4"/>
        <v>17</v>
      </c>
      <c r="P19" s="40">
        <f t="shared" si="4"/>
        <v>30</v>
      </c>
      <c r="Q19" s="40">
        <f t="shared" si="4"/>
        <v>43</v>
      </c>
      <c r="R19" s="66">
        <f t="shared" si="4"/>
        <v>56</v>
      </c>
      <c r="S19" s="43">
        <f t="shared" si="4"/>
        <v>17</v>
      </c>
      <c r="T19" s="40">
        <f t="shared" si="4"/>
        <v>28</v>
      </c>
      <c r="U19" s="40">
        <f t="shared" si="4"/>
        <v>39</v>
      </c>
      <c r="V19" s="66">
        <f t="shared" si="2"/>
        <v>67</v>
      </c>
      <c r="W19" s="46">
        <f t="shared" ref="W19:AK19" si="5">MOD(MOD($A19-W$1*W$2,$B$2/4)+W$2*$B$2/4+ROUND($B$2/8,0),$B$2)+1</f>
        <v>26</v>
      </c>
      <c r="X19" s="46">
        <f t="shared" si="5"/>
        <v>42</v>
      </c>
      <c r="Y19" s="46">
        <f t="shared" si="5"/>
        <v>58</v>
      </c>
      <c r="Z19" s="46">
        <f t="shared" si="5"/>
        <v>6</v>
      </c>
      <c r="AA19" s="46">
        <f t="shared" si="5"/>
        <v>26</v>
      </c>
      <c r="AB19" s="46">
        <f t="shared" si="5"/>
        <v>40</v>
      </c>
      <c r="AC19" s="46">
        <f t="shared" si="5"/>
        <v>54</v>
      </c>
      <c r="AD19" s="46">
        <f t="shared" si="5"/>
        <v>68</v>
      </c>
      <c r="AE19" s="46">
        <f t="shared" si="5"/>
        <v>26</v>
      </c>
      <c r="AF19" s="46">
        <f t="shared" si="5"/>
        <v>36</v>
      </c>
      <c r="AG19" s="46">
        <f t="shared" si="5"/>
        <v>46</v>
      </c>
      <c r="AH19" s="46">
        <f t="shared" si="5"/>
        <v>5</v>
      </c>
      <c r="AI19" s="46">
        <f t="shared" si="5"/>
        <v>26</v>
      </c>
      <c r="AJ19" s="46">
        <f t="shared" si="5"/>
        <v>34</v>
      </c>
      <c r="AK19" s="46">
        <f t="shared" si="5"/>
        <v>59</v>
      </c>
      <c r="AL19" s="46">
        <f t="shared" si="3"/>
        <v>67</v>
      </c>
    </row>
    <row r="20" spans="1:38" x14ac:dyDescent="0.35">
      <c r="A20" s="3">
        <v>17</v>
      </c>
      <c r="B20" s="22" t="s">
        <v>19</v>
      </c>
      <c r="D20">
        <f>2*$B$2/$C$2-$E$2/2+$B$2/8+1</f>
        <v>37.5</v>
      </c>
      <c r="E20">
        <f>ROUND(2*$B$2/$C$2+$E$2/2+$B$2/8,0)</f>
        <v>49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54.5</v>
      </c>
      <c r="E21">
        <f>ROUND(3*$B$2/$C$2+$E$2/2+$B$2/8,0)</f>
        <v>66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66</v>
      </c>
      <c r="E22">
        <f>$B$2</f>
        <v>68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3.5</v>
      </c>
      <c r="E23">
        <f>ROUND($B$2/$C$2+$E$2/2-$B$2/8,0)</f>
        <v>15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6">SUM(F28:F40)</f>
        <v>45</v>
      </c>
      <c r="G41">
        <f t="shared" si="6"/>
        <v>79</v>
      </c>
      <c r="H41">
        <f t="shared" si="6"/>
        <v>70</v>
      </c>
      <c r="I41">
        <f t="shared" si="6"/>
        <v>59</v>
      </c>
      <c r="J41">
        <f t="shared" si="6"/>
        <v>51</v>
      </c>
      <c r="K41">
        <f t="shared" si="6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209" priority="6" operator="between">
      <formula>$D$17</formula>
      <formula>$E$17</formula>
    </cfRule>
    <cfRule type="cellIs" dxfId="208" priority="7" operator="between">
      <formula>$D$16</formula>
      <formula>$E$16</formula>
    </cfRule>
    <cfRule type="cellIs" dxfId="207" priority="8" operator="between">
      <formula>$D$15</formula>
      <formula>$E$15</formula>
    </cfRule>
    <cfRule type="cellIs" dxfId="206" priority="9" operator="between">
      <formula>$D$14</formula>
      <formula>$E$14</formula>
    </cfRule>
  </conditionalFormatting>
  <conditionalFormatting sqref="W3:AL22">
    <cfRule type="cellIs" dxfId="205" priority="1" operator="between">
      <formula>$D$23</formula>
      <formula>$E$23</formula>
    </cfRule>
    <cfRule type="cellIs" dxfId="204" priority="2" operator="between">
      <formula>$D$22</formula>
      <formula>$E$22</formula>
    </cfRule>
    <cfRule type="cellIs" dxfId="203" priority="3" operator="between">
      <formula>$D$21</formula>
      <formula>$E$21</formula>
    </cfRule>
    <cfRule type="cellIs" dxfId="202" priority="4" operator="between">
      <formula>$D$20</formula>
      <formula>$E$20</formula>
    </cfRule>
    <cfRule type="cellIs" dxfId="201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List1">
    <pageSetUpPr fitToPage="1"/>
  </sheetPr>
  <dimension ref="A1:P39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17</v>
      </c>
      <c r="C4" s="58">
        <v>33</v>
      </c>
      <c r="D4" s="59">
        <v>49</v>
      </c>
      <c r="E4" s="57">
        <v>1</v>
      </c>
      <c r="F4" s="58">
        <v>31</v>
      </c>
      <c r="G4" s="86">
        <v>45</v>
      </c>
      <c r="H4" s="59">
        <v>59</v>
      </c>
      <c r="I4" s="57">
        <v>1</v>
      </c>
      <c r="J4" s="58">
        <v>29</v>
      </c>
      <c r="K4" s="58">
        <v>41</v>
      </c>
      <c r="L4" s="90">
        <v>53</v>
      </c>
      <c r="M4" s="57">
        <v>1</v>
      </c>
      <c r="N4" s="86">
        <v>27</v>
      </c>
      <c r="O4" s="58">
        <v>37</v>
      </c>
      <c r="P4" s="59">
        <v>63</v>
      </c>
    </row>
    <row r="5" spans="1:16" x14ac:dyDescent="0.35">
      <c r="A5" s="82">
        <v>2</v>
      </c>
      <c r="B5" s="55">
        <v>18</v>
      </c>
      <c r="C5" s="55">
        <v>34</v>
      </c>
      <c r="D5" s="56">
        <v>50</v>
      </c>
      <c r="E5" s="75">
        <v>2</v>
      </c>
      <c r="F5" s="76">
        <v>32</v>
      </c>
      <c r="G5" s="87">
        <v>46</v>
      </c>
      <c r="H5" s="77">
        <v>60</v>
      </c>
      <c r="I5" s="49">
        <v>2</v>
      </c>
      <c r="J5" s="50">
        <v>30</v>
      </c>
      <c r="K5" s="50">
        <v>42</v>
      </c>
      <c r="L5" s="91">
        <v>54</v>
      </c>
      <c r="M5" s="75">
        <v>2</v>
      </c>
      <c r="N5" s="87">
        <v>28</v>
      </c>
      <c r="O5" s="76">
        <v>38</v>
      </c>
      <c r="P5" s="77">
        <v>64</v>
      </c>
    </row>
    <row r="6" spans="1:16" x14ac:dyDescent="0.35">
      <c r="A6" s="83">
        <v>3</v>
      </c>
      <c r="B6" s="61">
        <v>19</v>
      </c>
      <c r="C6" s="61">
        <v>35</v>
      </c>
      <c r="D6" s="62">
        <v>51</v>
      </c>
      <c r="E6" s="60">
        <v>3</v>
      </c>
      <c r="F6" s="61">
        <v>17</v>
      </c>
      <c r="G6" s="88">
        <v>47</v>
      </c>
      <c r="H6" s="62">
        <v>61</v>
      </c>
      <c r="I6" s="60">
        <v>3</v>
      </c>
      <c r="J6" s="61">
        <v>31</v>
      </c>
      <c r="K6" s="61">
        <v>43</v>
      </c>
      <c r="L6" s="92">
        <v>55</v>
      </c>
      <c r="M6" s="60">
        <v>3</v>
      </c>
      <c r="N6" s="88">
        <v>29</v>
      </c>
      <c r="O6" s="61">
        <v>39</v>
      </c>
      <c r="P6" s="62">
        <v>49</v>
      </c>
    </row>
    <row r="7" spans="1:16" x14ac:dyDescent="0.35">
      <c r="A7" s="82">
        <v>4</v>
      </c>
      <c r="B7" s="55">
        <v>20</v>
      </c>
      <c r="C7" s="55">
        <v>36</v>
      </c>
      <c r="D7" s="56">
        <v>52</v>
      </c>
      <c r="E7" s="75">
        <v>4</v>
      </c>
      <c r="F7" s="76">
        <v>18</v>
      </c>
      <c r="G7" s="87">
        <v>48</v>
      </c>
      <c r="H7" s="77">
        <v>62</v>
      </c>
      <c r="I7" s="49">
        <v>4</v>
      </c>
      <c r="J7" s="50">
        <v>32</v>
      </c>
      <c r="K7" s="50">
        <v>44</v>
      </c>
      <c r="L7" s="91">
        <v>56</v>
      </c>
      <c r="M7" s="75">
        <v>4</v>
      </c>
      <c r="N7" s="87">
        <v>30</v>
      </c>
      <c r="O7" s="76">
        <v>40</v>
      </c>
      <c r="P7" s="77">
        <v>50</v>
      </c>
    </row>
    <row r="8" spans="1:16" x14ac:dyDescent="0.35">
      <c r="A8" s="83">
        <v>5</v>
      </c>
      <c r="B8" s="61">
        <v>21</v>
      </c>
      <c r="C8" s="61">
        <v>37</v>
      </c>
      <c r="D8" s="62">
        <v>53</v>
      </c>
      <c r="E8" s="60">
        <v>5</v>
      </c>
      <c r="F8" s="61">
        <v>19</v>
      </c>
      <c r="G8" s="88">
        <v>33</v>
      </c>
      <c r="H8" s="62">
        <v>63</v>
      </c>
      <c r="I8" s="60">
        <v>5</v>
      </c>
      <c r="J8" s="61">
        <v>17</v>
      </c>
      <c r="K8" s="61">
        <v>45</v>
      </c>
      <c r="L8" s="92">
        <v>57</v>
      </c>
      <c r="M8" s="60">
        <v>5</v>
      </c>
      <c r="N8" s="88">
        <v>31</v>
      </c>
      <c r="O8" s="61">
        <v>41</v>
      </c>
      <c r="P8" s="62">
        <v>51</v>
      </c>
    </row>
    <row r="9" spans="1:16" x14ac:dyDescent="0.35">
      <c r="A9" s="82">
        <v>6</v>
      </c>
      <c r="B9" s="55">
        <v>22</v>
      </c>
      <c r="C9" s="55">
        <v>38</v>
      </c>
      <c r="D9" s="56">
        <v>54</v>
      </c>
      <c r="E9" s="75">
        <v>6</v>
      </c>
      <c r="F9" s="76">
        <v>20</v>
      </c>
      <c r="G9" s="87">
        <v>34</v>
      </c>
      <c r="H9" s="77">
        <v>64</v>
      </c>
      <c r="I9" s="49">
        <v>6</v>
      </c>
      <c r="J9" s="50">
        <v>18</v>
      </c>
      <c r="K9" s="50">
        <v>46</v>
      </c>
      <c r="L9" s="91">
        <v>58</v>
      </c>
      <c r="M9" s="75">
        <v>6</v>
      </c>
      <c r="N9" s="87">
        <v>32</v>
      </c>
      <c r="O9" s="76">
        <v>42</v>
      </c>
      <c r="P9" s="77">
        <v>52</v>
      </c>
    </row>
    <row r="10" spans="1:16" x14ac:dyDescent="0.35">
      <c r="A10" s="83">
        <v>7</v>
      </c>
      <c r="B10" s="61">
        <v>23</v>
      </c>
      <c r="C10" s="61">
        <v>39</v>
      </c>
      <c r="D10" s="62">
        <v>55</v>
      </c>
      <c r="E10" s="60">
        <v>7</v>
      </c>
      <c r="F10" s="61">
        <v>21</v>
      </c>
      <c r="G10" s="88">
        <v>35</v>
      </c>
      <c r="H10" s="62">
        <v>49</v>
      </c>
      <c r="I10" s="60">
        <v>7</v>
      </c>
      <c r="J10" s="61">
        <v>19</v>
      </c>
      <c r="K10" s="61">
        <v>47</v>
      </c>
      <c r="L10" s="92">
        <v>59</v>
      </c>
      <c r="M10" s="60">
        <v>7</v>
      </c>
      <c r="N10" s="88">
        <v>17</v>
      </c>
      <c r="O10" s="61">
        <v>43</v>
      </c>
      <c r="P10" s="62">
        <v>53</v>
      </c>
    </row>
    <row r="11" spans="1:16" x14ac:dyDescent="0.35">
      <c r="A11" s="84">
        <v>8</v>
      </c>
      <c r="B11" s="50">
        <v>24</v>
      </c>
      <c r="C11" s="50">
        <v>40</v>
      </c>
      <c r="D11" s="51">
        <v>56</v>
      </c>
      <c r="E11" s="75">
        <v>8</v>
      </c>
      <c r="F11" s="76">
        <v>22</v>
      </c>
      <c r="G11" s="87">
        <v>36</v>
      </c>
      <c r="H11" s="77">
        <v>50</v>
      </c>
      <c r="I11" s="49">
        <v>8</v>
      </c>
      <c r="J11" s="50">
        <v>20</v>
      </c>
      <c r="K11" s="50">
        <v>48</v>
      </c>
      <c r="L11" s="91">
        <v>60</v>
      </c>
      <c r="M11" s="75">
        <v>8</v>
      </c>
      <c r="N11" s="87">
        <v>18</v>
      </c>
      <c r="O11" s="76">
        <v>44</v>
      </c>
      <c r="P11" s="77">
        <v>54</v>
      </c>
    </row>
    <row r="12" spans="1:16" x14ac:dyDescent="0.35">
      <c r="A12" s="83">
        <v>9</v>
      </c>
      <c r="B12" s="61">
        <v>25</v>
      </c>
      <c r="C12" s="61">
        <v>41</v>
      </c>
      <c r="D12" s="62">
        <v>57</v>
      </c>
      <c r="E12" s="60">
        <v>9</v>
      </c>
      <c r="F12" s="61">
        <v>23</v>
      </c>
      <c r="G12" s="88">
        <v>37</v>
      </c>
      <c r="H12" s="62">
        <v>51</v>
      </c>
      <c r="I12" s="60">
        <v>9</v>
      </c>
      <c r="J12" s="61">
        <v>21</v>
      </c>
      <c r="K12" s="61">
        <v>33</v>
      </c>
      <c r="L12" s="92">
        <v>61</v>
      </c>
      <c r="M12" s="60">
        <v>9</v>
      </c>
      <c r="N12" s="88">
        <v>19</v>
      </c>
      <c r="O12" s="61">
        <v>45</v>
      </c>
      <c r="P12" s="62">
        <v>55</v>
      </c>
    </row>
    <row r="13" spans="1:16" x14ac:dyDescent="0.35">
      <c r="A13" s="84">
        <v>10</v>
      </c>
      <c r="B13" s="50">
        <v>26</v>
      </c>
      <c r="C13" s="50">
        <v>42</v>
      </c>
      <c r="D13" s="51">
        <v>58</v>
      </c>
      <c r="E13" s="75">
        <v>10</v>
      </c>
      <c r="F13" s="76">
        <v>24</v>
      </c>
      <c r="G13" s="87">
        <v>38</v>
      </c>
      <c r="H13" s="77">
        <v>52</v>
      </c>
      <c r="I13" s="49">
        <v>10</v>
      </c>
      <c r="J13" s="50">
        <v>22</v>
      </c>
      <c r="K13" s="50">
        <v>34</v>
      </c>
      <c r="L13" s="91">
        <v>62</v>
      </c>
      <c r="M13" s="75">
        <v>10</v>
      </c>
      <c r="N13" s="87">
        <v>20</v>
      </c>
      <c r="O13" s="76">
        <v>46</v>
      </c>
      <c r="P13" s="77">
        <v>56</v>
      </c>
    </row>
    <row r="14" spans="1:16" x14ac:dyDescent="0.35">
      <c r="A14" s="83">
        <v>11</v>
      </c>
      <c r="B14" s="61">
        <v>27</v>
      </c>
      <c r="C14" s="61">
        <v>43</v>
      </c>
      <c r="D14" s="62">
        <v>59</v>
      </c>
      <c r="E14" s="60">
        <v>11</v>
      </c>
      <c r="F14" s="61">
        <v>25</v>
      </c>
      <c r="G14" s="88">
        <v>39</v>
      </c>
      <c r="H14" s="62">
        <v>53</v>
      </c>
      <c r="I14" s="60">
        <v>11</v>
      </c>
      <c r="J14" s="61">
        <v>23</v>
      </c>
      <c r="K14" s="61">
        <v>35</v>
      </c>
      <c r="L14" s="92">
        <v>63</v>
      </c>
      <c r="M14" s="60">
        <v>11</v>
      </c>
      <c r="N14" s="88">
        <v>21</v>
      </c>
      <c r="O14" s="61">
        <v>47</v>
      </c>
      <c r="P14" s="62">
        <v>57</v>
      </c>
    </row>
    <row r="15" spans="1:16" x14ac:dyDescent="0.35">
      <c r="A15" s="84">
        <v>12</v>
      </c>
      <c r="B15" s="50">
        <v>28</v>
      </c>
      <c r="C15" s="50">
        <v>44</v>
      </c>
      <c r="D15" s="51">
        <v>60</v>
      </c>
      <c r="E15" s="75">
        <v>12</v>
      </c>
      <c r="F15" s="76">
        <v>26</v>
      </c>
      <c r="G15" s="87">
        <v>40</v>
      </c>
      <c r="H15" s="77">
        <v>54</v>
      </c>
      <c r="I15" s="49">
        <v>12</v>
      </c>
      <c r="J15" s="50">
        <v>24</v>
      </c>
      <c r="K15" s="50">
        <v>36</v>
      </c>
      <c r="L15" s="91">
        <v>64</v>
      </c>
      <c r="M15" s="75">
        <v>12</v>
      </c>
      <c r="N15" s="87">
        <v>22</v>
      </c>
      <c r="O15" s="76">
        <v>48</v>
      </c>
      <c r="P15" s="77">
        <v>58</v>
      </c>
    </row>
    <row r="16" spans="1:16" x14ac:dyDescent="0.35">
      <c r="A16" s="83">
        <v>13</v>
      </c>
      <c r="B16" s="61">
        <v>29</v>
      </c>
      <c r="C16" s="61">
        <v>45</v>
      </c>
      <c r="D16" s="62">
        <v>61</v>
      </c>
      <c r="E16" s="60">
        <v>13</v>
      </c>
      <c r="F16" s="61">
        <v>27</v>
      </c>
      <c r="G16" s="88">
        <v>41</v>
      </c>
      <c r="H16" s="62">
        <v>55</v>
      </c>
      <c r="I16" s="60">
        <v>13</v>
      </c>
      <c r="J16" s="61">
        <v>25</v>
      </c>
      <c r="K16" s="61">
        <v>37</v>
      </c>
      <c r="L16" s="92">
        <v>49</v>
      </c>
      <c r="M16" s="60">
        <v>13</v>
      </c>
      <c r="N16" s="88">
        <v>23</v>
      </c>
      <c r="O16" s="61">
        <v>33</v>
      </c>
      <c r="P16" s="62">
        <v>59</v>
      </c>
    </row>
    <row r="17" spans="1:16" x14ac:dyDescent="0.35">
      <c r="A17" s="84">
        <v>14</v>
      </c>
      <c r="B17" s="50">
        <v>30</v>
      </c>
      <c r="C17" s="50">
        <v>46</v>
      </c>
      <c r="D17" s="51">
        <v>62</v>
      </c>
      <c r="E17" s="75">
        <v>14</v>
      </c>
      <c r="F17" s="76">
        <v>28</v>
      </c>
      <c r="G17" s="87">
        <v>42</v>
      </c>
      <c r="H17" s="77">
        <v>56</v>
      </c>
      <c r="I17" s="49">
        <v>14</v>
      </c>
      <c r="J17" s="50">
        <v>26</v>
      </c>
      <c r="K17" s="50">
        <v>38</v>
      </c>
      <c r="L17" s="91">
        <v>50</v>
      </c>
      <c r="M17" s="75">
        <v>14</v>
      </c>
      <c r="N17" s="87">
        <v>24</v>
      </c>
      <c r="O17" s="76">
        <v>34</v>
      </c>
      <c r="P17" s="77">
        <v>60</v>
      </c>
    </row>
    <row r="18" spans="1:16" x14ac:dyDescent="0.35">
      <c r="A18" s="83">
        <v>15</v>
      </c>
      <c r="B18" s="61">
        <v>31</v>
      </c>
      <c r="C18" s="61">
        <v>47</v>
      </c>
      <c r="D18" s="62">
        <v>63</v>
      </c>
      <c r="E18" s="60">
        <v>15</v>
      </c>
      <c r="F18" s="61">
        <v>29</v>
      </c>
      <c r="G18" s="88">
        <v>43</v>
      </c>
      <c r="H18" s="62">
        <v>57</v>
      </c>
      <c r="I18" s="60">
        <v>15</v>
      </c>
      <c r="J18" s="61">
        <v>27</v>
      </c>
      <c r="K18" s="61">
        <v>39</v>
      </c>
      <c r="L18" s="92">
        <v>51</v>
      </c>
      <c r="M18" s="60">
        <v>15</v>
      </c>
      <c r="N18" s="88">
        <v>25</v>
      </c>
      <c r="O18" s="61">
        <v>35</v>
      </c>
      <c r="P18" s="62">
        <v>61</v>
      </c>
    </row>
    <row r="19" spans="1:16" x14ac:dyDescent="0.35">
      <c r="A19" s="84">
        <v>16</v>
      </c>
      <c r="B19" s="50">
        <v>32</v>
      </c>
      <c r="C19" s="50">
        <v>48</v>
      </c>
      <c r="D19" s="51">
        <v>64</v>
      </c>
      <c r="E19" s="75">
        <v>16</v>
      </c>
      <c r="F19" s="76">
        <v>30</v>
      </c>
      <c r="G19" s="87">
        <v>44</v>
      </c>
      <c r="H19" s="77">
        <v>58</v>
      </c>
      <c r="I19" s="49">
        <v>16</v>
      </c>
      <c r="J19" s="50">
        <v>28</v>
      </c>
      <c r="K19" s="50">
        <v>40</v>
      </c>
      <c r="L19" s="91">
        <v>52</v>
      </c>
      <c r="M19" s="75">
        <v>16</v>
      </c>
      <c r="N19" s="87">
        <v>26</v>
      </c>
      <c r="O19" s="76">
        <v>36</v>
      </c>
      <c r="P19" s="77">
        <v>62</v>
      </c>
    </row>
    <row r="20" spans="1:16" ht="15" thickBot="1" x14ac:dyDescent="0.4"/>
    <row r="21" spans="1:16" x14ac:dyDescent="0.35">
      <c r="A21" s="108" t="s">
        <v>34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10"/>
    </row>
    <row r="22" spans="1:16" ht="5.25" customHeight="1" thickBot="1" x14ac:dyDescent="0.4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</row>
    <row r="23" spans="1:16" ht="15" thickBot="1" x14ac:dyDescent="0.4">
      <c r="A23" s="102" t="s">
        <v>30</v>
      </c>
      <c r="B23" s="103"/>
      <c r="C23" s="103"/>
      <c r="D23" s="104"/>
      <c r="E23" s="105" t="s">
        <v>31</v>
      </c>
      <c r="F23" s="106"/>
      <c r="G23" s="106"/>
      <c r="H23" s="107"/>
      <c r="I23" s="102" t="s">
        <v>32</v>
      </c>
      <c r="J23" s="103"/>
      <c r="K23" s="103"/>
      <c r="L23" s="104"/>
      <c r="M23" s="105" t="s">
        <v>33</v>
      </c>
      <c r="N23" s="106"/>
      <c r="O23" s="106"/>
      <c r="P23" s="107"/>
    </row>
    <row r="24" spans="1:16" x14ac:dyDescent="0.35">
      <c r="A24" s="57">
        <v>9</v>
      </c>
      <c r="B24" s="86">
        <v>40</v>
      </c>
      <c r="C24" s="58">
        <v>55</v>
      </c>
      <c r="D24" s="59">
        <v>6</v>
      </c>
      <c r="E24" s="57">
        <v>9</v>
      </c>
      <c r="F24" s="58">
        <v>38</v>
      </c>
      <c r="G24" s="58">
        <v>51</v>
      </c>
      <c r="H24" s="90">
        <v>64</v>
      </c>
      <c r="I24" s="57">
        <v>9</v>
      </c>
      <c r="J24" s="58">
        <v>34</v>
      </c>
      <c r="K24" s="86">
        <v>43</v>
      </c>
      <c r="L24" s="59">
        <v>4</v>
      </c>
      <c r="M24" s="81">
        <v>9</v>
      </c>
      <c r="N24" s="58">
        <v>36</v>
      </c>
      <c r="O24" s="58">
        <v>47</v>
      </c>
      <c r="P24" s="59">
        <v>58</v>
      </c>
    </row>
    <row r="25" spans="1:16" x14ac:dyDescent="0.35">
      <c r="A25" s="94">
        <v>10</v>
      </c>
      <c r="B25" s="95">
        <v>25</v>
      </c>
      <c r="C25" s="55">
        <v>56</v>
      </c>
      <c r="D25" s="56">
        <v>7</v>
      </c>
      <c r="E25" s="75">
        <v>10</v>
      </c>
      <c r="F25" s="76">
        <v>39</v>
      </c>
      <c r="G25" s="76">
        <v>52</v>
      </c>
      <c r="H25" s="98">
        <v>1</v>
      </c>
      <c r="I25" s="49">
        <v>10</v>
      </c>
      <c r="J25" s="50">
        <v>35</v>
      </c>
      <c r="K25" s="96">
        <v>44</v>
      </c>
      <c r="L25" s="51">
        <v>5</v>
      </c>
      <c r="M25" s="100">
        <v>10</v>
      </c>
      <c r="N25" s="76">
        <v>37</v>
      </c>
      <c r="O25" s="76">
        <v>48</v>
      </c>
      <c r="P25" s="77">
        <v>59</v>
      </c>
    </row>
    <row r="26" spans="1:16" x14ac:dyDescent="0.35">
      <c r="A26" s="60">
        <v>11</v>
      </c>
      <c r="B26" s="88">
        <v>26</v>
      </c>
      <c r="C26" s="61">
        <v>41</v>
      </c>
      <c r="D26" s="62">
        <v>8</v>
      </c>
      <c r="E26" s="60">
        <v>11</v>
      </c>
      <c r="F26" s="61">
        <v>40</v>
      </c>
      <c r="G26" s="61">
        <v>53</v>
      </c>
      <c r="H26" s="92">
        <v>2</v>
      </c>
      <c r="I26" s="60">
        <v>11</v>
      </c>
      <c r="J26" s="61">
        <v>36</v>
      </c>
      <c r="K26" s="88">
        <v>45</v>
      </c>
      <c r="L26" s="62">
        <v>6</v>
      </c>
      <c r="M26" s="83">
        <v>11</v>
      </c>
      <c r="N26" s="61">
        <v>38</v>
      </c>
      <c r="O26" s="61">
        <v>49</v>
      </c>
      <c r="P26" s="62">
        <v>60</v>
      </c>
    </row>
    <row r="27" spans="1:16" x14ac:dyDescent="0.35">
      <c r="A27" s="94">
        <v>12</v>
      </c>
      <c r="B27" s="95">
        <v>27</v>
      </c>
      <c r="C27" s="55">
        <v>42</v>
      </c>
      <c r="D27" s="56">
        <v>57</v>
      </c>
      <c r="E27" s="75">
        <v>12</v>
      </c>
      <c r="F27" s="76">
        <v>25</v>
      </c>
      <c r="G27" s="76">
        <v>54</v>
      </c>
      <c r="H27" s="98">
        <v>3</v>
      </c>
      <c r="I27" s="49">
        <v>12</v>
      </c>
      <c r="J27" s="50">
        <v>37</v>
      </c>
      <c r="K27" s="96">
        <v>46</v>
      </c>
      <c r="L27" s="51">
        <v>7</v>
      </c>
      <c r="M27" s="100">
        <v>12</v>
      </c>
      <c r="N27" s="76">
        <v>39</v>
      </c>
      <c r="O27" s="76">
        <v>50</v>
      </c>
      <c r="P27" s="77">
        <v>61</v>
      </c>
    </row>
    <row r="28" spans="1:16" x14ac:dyDescent="0.35">
      <c r="A28" s="60">
        <v>13</v>
      </c>
      <c r="B28" s="88">
        <v>28</v>
      </c>
      <c r="C28" s="61">
        <v>43</v>
      </c>
      <c r="D28" s="62">
        <v>58</v>
      </c>
      <c r="E28" s="60">
        <v>13</v>
      </c>
      <c r="F28" s="61">
        <v>26</v>
      </c>
      <c r="G28" s="61">
        <v>55</v>
      </c>
      <c r="H28" s="92">
        <v>4</v>
      </c>
      <c r="I28" s="60">
        <v>13</v>
      </c>
      <c r="J28" s="61">
        <v>38</v>
      </c>
      <c r="K28" s="88">
        <v>47</v>
      </c>
      <c r="L28" s="62">
        <v>8</v>
      </c>
      <c r="M28" s="83">
        <v>13</v>
      </c>
      <c r="N28" s="61">
        <v>40</v>
      </c>
      <c r="O28" s="61">
        <v>51</v>
      </c>
      <c r="P28" s="62">
        <v>62</v>
      </c>
    </row>
    <row r="29" spans="1:16" x14ac:dyDescent="0.35">
      <c r="A29" s="94">
        <v>14</v>
      </c>
      <c r="B29" s="95">
        <v>29</v>
      </c>
      <c r="C29" s="55">
        <v>44</v>
      </c>
      <c r="D29" s="56">
        <v>59</v>
      </c>
      <c r="E29" s="75">
        <v>14</v>
      </c>
      <c r="F29" s="76">
        <v>27</v>
      </c>
      <c r="G29" s="76">
        <v>56</v>
      </c>
      <c r="H29" s="98">
        <v>5</v>
      </c>
      <c r="I29" s="49">
        <v>14</v>
      </c>
      <c r="J29" s="50">
        <v>39</v>
      </c>
      <c r="K29" s="96">
        <v>48</v>
      </c>
      <c r="L29" s="51">
        <v>57</v>
      </c>
      <c r="M29" s="100">
        <v>14</v>
      </c>
      <c r="N29" s="76">
        <v>25</v>
      </c>
      <c r="O29" s="76">
        <v>52</v>
      </c>
      <c r="P29" s="77">
        <v>63</v>
      </c>
    </row>
    <row r="30" spans="1:16" x14ac:dyDescent="0.35">
      <c r="A30" s="60">
        <v>15</v>
      </c>
      <c r="B30" s="88">
        <v>30</v>
      </c>
      <c r="C30" s="61">
        <v>45</v>
      </c>
      <c r="D30" s="62">
        <v>60</v>
      </c>
      <c r="E30" s="60">
        <v>15</v>
      </c>
      <c r="F30" s="61">
        <v>28</v>
      </c>
      <c r="G30" s="61">
        <v>41</v>
      </c>
      <c r="H30" s="92">
        <v>6</v>
      </c>
      <c r="I30" s="60">
        <v>15</v>
      </c>
      <c r="J30" s="61">
        <v>40</v>
      </c>
      <c r="K30" s="88">
        <v>49</v>
      </c>
      <c r="L30" s="62">
        <v>58</v>
      </c>
      <c r="M30" s="83">
        <v>15</v>
      </c>
      <c r="N30" s="61">
        <v>26</v>
      </c>
      <c r="O30" s="61">
        <v>53</v>
      </c>
      <c r="P30" s="62">
        <v>64</v>
      </c>
    </row>
    <row r="31" spans="1:16" x14ac:dyDescent="0.35">
      <c r="A31" s="49">
        <v>16</v>
      </c>
      <c r="B31" s="96">
        <v>31</v>
      </c>
      <c r="C31" s="50">
        <v>46</v>
      </c>
      <c r="D31" s="51">
        <v>61</v>
      </c>
      <c r="E31" s="75">
        <v>16</v>
      </c>
      <c r="F31" s="76">
        <v>29</v>
      </c>
      <c r="G31" s="76">
        <v>42</v>
      </c>
      <c r="H31" s="98">
        <v>7</v>
      </c>
      <c r="I31" s="49">
        <v>16</v>
      </c>
      <c r="J31" s="50">
        <v>25</v>
      </c>
      <c r="K31" s="96">
        <v>50</v>
      </c>
      <c r="L31" s="51">
        <v>59</v>
      </c>
      <c r="M31" s="100">
        <v>16</v>
      </c>
      <c r="N31" s="76">
        <v>27</v>
      </c>
      <c r="O31" s="76">
        <v>54</v>
      </c>
      <c r="P31" s="77">
        <v>1</v>
      </c>
    </row>
    <row r="32" spans="1:16" x14ac:dyDescent="0.35">
      <c r="A32" s="60">
        <v>17</v>
      </c>
      <c r="B32" s="88">
        <v>32</v>
      </c>
      <c r="C32" s="61">
        <v>47</v>
      </c>
      <c r="D32" s="62">
        <v>62</v>
      </c>
      <c r="E32" s="60">
        <v>17</v>
      </c>
      <c r="F32" s="61">
        <v>30</v>
      </c>
      <c r="G32" s="61">
        <v>43</v>
      </c>
      <c r="H32" s="92">
        <v>8</v>
      </c>
      <c r="I32" s="60">
        <v>17</v>
      </c>
      <c r="J32" s="61">
        <v>26</v>
      </c>
      <c r="K32" s="88">
        <v>51</v>
      </c>
      <c r="L32" s="62">
        <v>60</v>
      </c>
      <c r="M32" s="83">
        <v>17</v>
      </c>
      <c r="N32" s="61">
        <v>28</v>
      </c>
      <c r="O32" s="61">
        <v>55</v>
      </c>
      <c r="P32" s="62">
        <v>2</v>
      </c>
    </row>
    <row r="33" spans="1:16" x14ac:dyDescent="0.35">
      <c r="A33" s="49">
        <v>18</v>
      </c>
      <c r="B33" s="96">
        <v>33</v>
      </c>
      <c r="C33" s="50">
        <v>48</v>
      </c>
      <c r="D33" s="51">
        <v>63</v>
      </c>
      <c r="E33" s="75">
        <v>18</v>
      </c>
      <c r="F33" s="76">
        <v>31</v>
      </c>
      <c r="G33" s="76">
        <v>44</v>
      </c>
      <c r="H33" s="98">
        <v>57</v>
      </c>
      <c r="I33" s="49">
        <v>18</v>
      </c>
      <c r="J33" s="50">
        <v>27</v>
      </c>
      <c r="K33" s="96">
        <v>52</v>
      </c>
      <c r="L33" s="51">
        <v>61</v>
      </c>
      <c r="M33" s="100">
        <v>18</v>
      </c>
      <c r="N33" s="76">
        <v>29</v>
      </c>
      <c r="O33" s="76">
        <v>56</v>
      </c>
      <c r="P33" s="77">
        <v>3</v>
      </c>
    </row>
    <row r="34" spans="1:16" x14ac:dyDescent="0.35">
      <c r="A34" s="60">
        <v>19</v>
      </c>
      <c r="B34" s="88">
        <v>34</v>
      </c>
      <c r="C34" s="61">
        <v>49</v>
      </c>
      <c r="D34" s="62">
        <v>64</v>
      </c>
      <c r="E34" s="60">
        <v>19</v>
      </c>
      <c r="F34" s="61">
        <v>32</v>
      </c>
      <c r="G34" s="61">
        <v>45</v>
      </c>
      <c r="H34" s="92">
        <v>58</v>
      </c>
      <c r="I34" s="60">
        <v>19</v>
      </c>
      <c r="J34" s="61">
        <v>28</v>
      </c>
      <c r="K34" s="88">
        <v>53</v>
      </c>
      <c r="L34" s="62">
        <v>62</v>
      </c>
      <c r="M34" s="83">
        <v>19</v>
      </c>
      <c r="N34" s="61">
        <v>30</v>
      </c>
      <c r="O34" s="61">
        <v>41</v>
      </c>
      <c r="P34" s="62">
        <v>4</v>
      </c>
    </row>
    <row r="35" spans="1:16" x14ac:dyDescent="0.35">
      <c r="A35" s="49">
        <v>20</v>
      </c>
      <c r="B35" s="96">
        <v>35</v>
      </c>
      <c r="C35" s="50">
        <v>50</v>
      </c>
      <c r="D35" s="51">
        <v>1</v>
      </c>
      <c r="E35" s="75">
        <v>20</v>
      </c>
      <c r="F35" s="76">
        <v>33</v>
      </c>
      <c r="G35" s="76">
        <v>46</v>
      </c>
      <c r="H35" s="98">
        <v>59</v>
      </c>
      <c r="I35" s="49">
        <v>20</v>
      </c>
      <c r="J35" s="50">
        <v>29</v>
      </c>
      <c r="K35" s="96">
        <v>54</v>
      </c>
      <c r="L35" s="51">
        <v>63</v>
      </c>
      <c r="M35" s="100">
        <v>20</v>
      </c>
      <c r="N35" s="76">
        <v>31</v>
      </c>
      <c r="O35" s="76">
        <v>42</v>
      </c>
      <c r="P35" s="77">
        <v>5</v>
      </c>
    </row>
    <row r="36" spans="1:16" x14ac:dyDescent="0.35">
      <c r="A36" s="60">
        <v>21</v>
      </c>
      <c r="B36" s="88">
        <v>36</v>
      </c>
      <c r="C36" s="61">
        <v>51</v>
      </c>
      <c r="D36" s="62">
        <v>2</v>
      </c>
      <c r="E36" s="60">
        <v>21</v>
      </c>
      <c r="F36" s="61">
        <v>34</v>
      </c>
      <c r="G36" s="61">
        <v>47</v>
      </c>
      <c r="H36" s="92">
        <v>60</v>
      </c>
      <c r="I36" s="60">
        <v>21</v>
      </c>
      <c r="J36" s="61">
        <v>30</v>
      </c>
      <c r="K36" s="88">
        <v>55</v>
      </c>
      <c r="L36" s="62">
        <v>64</v>
      </c>
      <c r="M36" s="83">
        <v>21</v>
      </c>
      <c r="N36" s="61">
        <v>32</v>
      </c>
      <c r="O36" s="61">
        <v>43</v>
      </c>
      <c r="P36" s="62">
        <v>6</v>
      </c>
    </row>
    <row r="37" spans="1:16" x14ac:dyDescent="0.35">
      <c r="A37" s="49">
        <v>22</v>
      </c>
      <c r="B37" s="96">
        <v>37</v>
      </c>
      <c r="C37" s="50">
        <v>52</v>
      </c>
      <c r="D37" s="51">
        <v>3</v>
      </c>
      <c r="E37" s="75">
        <v>22</v>
      </c>
      <c r="F37" s="76">
        <v>35</v>
      </c>
      <c r="G37" s="76">
        <v>48</v>
      </c>
      <c r="H37" s="98">
        <v>61</v>
      </c>
      <c r="I37" s="49">
        <v>22</v>
      </c>
      <c r="J37" s="50">
        <v>31</v>
      </c>
      <c r="K37" s="96">
        <v>56</v>
      </c>
      <c r="L37" s="51">
        <v>1</v>
      </c>
      <c r="M37" s="100">
        <v>22</v>
      </c>
      <c r="N37" s="76">
        <v>33</v>
      </c>
      <c r="O37" s="76">
        <v>44</v>
      </c>
      <c r="P37" s="77">
        <v>7</v>
      </c>
    </row>
    <row r="38" spans="1:16" x14ac:dyDescent="0.35">
      <c r="A38" s="60">
        <v>23</v>
      </c>
      <c r="B38" s="88">
        <v>38</v>
      </c>
      <c r="C38" s="61">
        <v>53</v>
      </c>
      <c r="D38" s="62">
        <v>4</v>
      </c>
      <c r="E38" s="60">
        <v>23</v>
      </c>
      <c r="F38" s="61">
        <v>36</v>
      </c>
      <c r="G38" s="61">
        <v>49</v>
      </c>
      <c r="H38" s="92">
        <v>62</v>
      </c>
      <c r="I38" s="60">
        <v>23</v>
      </c>
      <c r="J38" s="61">
        <v>32</v>
      </c>
      <c r="K38" s="88">
        <v>41</v>
      </c>
      <c r="L38" s="62">
        <v>2</v>
      </c>
      <c r="M38" s="83">
        <v>23</v>
      </c>
      <c r="N38" s="61">
        <v>34</v>
      </c>
      <c r="O38" s="61">
        <v>45</v>
      </c>
      <c r="P38" s="62">
        <v>8</v>
      </c>
    </row>
    <row r="39" spans="1:16" x14ac:dyDescent="0.35">
      <c r="A39" s="49">
        <v>24</v>
      </c>
      <c r="B39" s="96">
        <v>39</v>
      </c>
      <c r="C39" s="50">
        <v>54</v>
      </c>
      <c r="D39" s="51">
        <v>5</v>
      </c>
      <c r="E39" s="75">
        <v>24</v>
      </c>
      <c r="F39" s="76">
        <v>37</v>
      </c>
      <c r="G39" s="76">
        <v>50</v>
      </c>
      <c r="H39" s="98">
        <v>63</v>
      </c>
      <c r="I39" s="49">
        <v>24</v>
      </c>
      <c r="J39" s="50">
        <v>33</v>
      </c>
      <c r="K39" s="96">
        <v>42</v>
      </c>
      <c r="L39" s="51">
        <v>3</v>
      </c>
      <c r="M39" s="100">
        <v>24</v>
      </c>
      <c r="N39" s="76">
        <v>35</v>
      </c>
      <c r="O39" s="76">
        <v>46</v>
      </c>
      <c r="P39" s="77">
        <v>57</v>
      </c>
    </row>
  </sheetData>
  <mergeCells count="10">
    <mergeCell ref="A23:D23"/>
    <mergeCell ref="E23:H23"/>
    <mergeCell ref="I23:L23"/>
    <mergeCell ref="M23:P23"/>
    <mergeCell ref="A1:P2"/>
    <mergeCell ref="A3:D3"/>
    <mergeCell ref="E3:H3"/>
    <mergeCell ref="I3:L3"/>
    <mergeCell ref="M3:P3"/>
    <mergeCell ref="A21:P22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82"/>
  <sheetViews>
    <sheetView workbookViewId="0">
      <selection activeCell="V3" sqref="G3:V18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2</v>
      </c>
      <c r="C1">
        <f>FLOOR(2*$B$2/32,1)</f>
        <v>4</v>
      </c>
      <c r="D1">
        <f>FLOOR(3*$B$2/32,1)</f>
        <v>6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7</v>
      </c>
      <c r="AF1" s="9">
        <v>7</v>
      </c>
      <c r="AG1" s="9">
        <v>7</v>
      </c>
      <c r="AH1" s="10">
        <v>7</v>
      </c>
      <c r="AI1">
        <v>5</v>
      </c>
      <c r="AJ1">
        <v>5</v>
      </c>
      <c r="AK1">
        <v>5</v>
      </c>
      <c r="AL1">
        <v>5</v>
      </c>
    </row>
    <row r="2" spans="1:38" ht="15" thickBot="1" x14ac:dyDescent="0.4">
      <c r="A2">
        <f>CEILING(COUNTA(B3:B83)/4,1)*4</f>
        <v>80</v>
      </c>
      <c r="B2">
        <v>64</v>
      </c>
      <c r="C2">
        <v>4</v>
      </c>
      <c r="D2">
        <v>8</v>
      </c>
      <c r="E2">
        <v>10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8" si="0">MOD($A3-G$1*G$2,$B$2/4)+G$2*$B$2/4+1</f>
        <v>1</v>
      </c>
      <c r="H3" s="64">
        <f t="shared" si="0"/>
        <v>17</v>
      </c>
      <c r="I3" s="64">
        <f t="shared" si="0"/>
        <v>33</v>
      </c>
      <c r="J3" s="65">
        <f t="shared" si="0"/>
        <v>49</v>
      </c>
      <c r="K3" s="63">
        <f t="shared" si="0"/>
        <v>1</v>
      </c>
      <c r="L3" s="64">
        <f t="shared" si="0"/>
        <v>31</v>
      </c>
      <c r="M3" s="64">
        <f t="shared" si="0"/>
        <v>45</v>
      </c>
      <c r="N3" s="65">
        <f t="shared" si="0"/>
        <v>59</v>
      </c>
      <c r="O3" s="63">
        <f t="shared" si="0"/>
        <v>1</v>
      </c>
      <c r="P3" s="64">
        <f t="shared" si="0"/>
        <v>29</v>
      </c>
      <c r="Q3" s="64">
        <f t="shared" si="0"/>
        <v>41</v>
      </c>
      <c r="R3" s="65">
        <f t="shared" si="0"/>
        <v>53</v>
      </c>
      <c r="S3" s="63">
        <f t="shared" si="0"/>
        <v>1</v>
      </c>
      <c r="T3" s="64">
        <f t="shared" si="0"/>
        <v>27</v>
      </c>
      <c r="U3" s="64">
        <f t="shared" si="0"/>
        <v>37</v>
      </c>
      <c r="V3" s="65">
        <f t="shared" si="0"/>
        <v>63</v>
      </c>
      <c r="W3" s="46">
        <f t="shared" ref="W3:AL18" si="1">MOD(MOD($A3-W$1*W$2,$B$2/4)+W$2*$B$2/4+ROUND($B$2/8,0),$B$2)+1</f>
        <v>9</v>
      </c>
      <c r="X3" s="46">
        <f t="shared" si="1"/>
        <v>40</v>
      </c>
      <c r="Y3" s="46">
        <f t="shared" si="1"/>
        <v>55</v>
      </c>
      <c r="Z3" s="46">
        <f t="shared" si="1"/>
        <v>6</v>
      </c>
      <c r="AA3" s="46">
        <f t="shared" si="1"/>
        <v>9</v>
      </c>
      <c r="AB3" s="46">
        <f t="shared" si="1"/>
        <v>38</v>
      </c>
      <c r="AC3" s="46">
        <f t="shared" si="1"/>
        <v>51</v>
      </c>
      <c r="AD3" s="46">
        <f t="shared" si="1"/>
        <v>64</v>
      </c>
      <c r="AE3" s="46">
        <f t="shared" si="1"/>
        <v>9</v>
      </c>
      <c r="AF3" s="46">
        <f t="shared" si="1"/>
        <v>34</v>
      </c>
      <c r="AG3" s="46">
        <f t="shared" si="1"/>
        <v>43</v>
      </c>
      <c r="AH3" s="46">
        <f t="shared" si="1"/>
        <v>4</v>
      </c>
      <c r="AI3" s="46">
        <f t="shared" si="1"/>
        <v>9</v>
      </c>
      <c r="AJ3" s="46">
        <f t="shared" si="1"/>
        <v>36</v>
      </c>
      <c r="AK3" s="46">
        <f t="shared" si="1"/>
        <v>47</v>
      </c>
      <c r="AL3" s="46">
        <f t="shared" si="1"/>
        <v>58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18</v>
      </c>
      <c r="I4" s="40">
        <f t="shared" si="0"/>
        <v>34</v>
      </c>
      <c r="J4" s="66">
        <f t="shared" si="0"/>
        <v>50</v>
      </c>
      <c r="K4" s="43">
        <f t="shared" si="0"/>
        <v>2</v>
      </c>
      <c r="L4" s="40">
        <f t="shared" si="0"/>
        <v>32</v>
      </c>
      <c r="M4" s="40">
        <f t="shared" si="0"/>
        <v>46</v>
      </c>
      <c r="N4" s="66">
        <f t="shared" si="0"/>
        <v>60</v>
      </c>
      <c r="O4" s="43">
        <f t="shared" si="0"/>
        <v>2</v>
      </c>
      <c r="P4" s="40">
        <f t="shared" si="0"/>
        <v>30</v>
      </c>
      <c r="Q4" s="40">
        <f t="shared" si="0"/>
        <v>42</v>
      </c>
      <c r="R4" s="66">
        <f t="shared" si="0"/>
        <v>54</v>
      </c>
      <c r="S4" s="43">
        <f t="shared" si="0"/>
        <v>2</v>
      </c>
      <c r="T4" s="40">
        <f t="shared" si="0"/>
        <v>28</v>
      </c>
      <c r="U4" s="40">
        <f t="shared" si="0"/>
        <v>38</v>
      </c>
      <c r="V4" s="66">
        <f t="shared" si="0"/>
        <v>64</v>
      </c>
      <c r="W4" s="46">
        <f t="shared" si="1"/>
        <v>10</v>
      </c>
      <c r="X4" s="46">
        <f t="shared" si="1"/>
        <v>25</v>
      </c>
      <c r="Y4" s="46">
        <f t="shared" si="1"/>
        <v>56</v>
      </c>
      <c r="Z4" s="46">
        <f t="shared" si="1"/>
        <v>7</v>
      </c>
      <c r="AA4" s="46">
        <f t="shared" si="1"/>
        <v>10</v>
      </c>
      <c r="AB4" s="46">
        <f t="shared" si="1"/>
        <v>39</v>
      </c>
      <c r="AC4" s="46">
        <f t="shared" si="1"/>
        <v>52</v>
      </c>
      <c r="AD4" s="46">
        <f t="shared" si="1"/>
        <v>1</v>
      </c>
      <c r="AE4" s="46">
        <f t="shared" si="1"/>
        <v>10</v>
      </c>
      <c r="AF4" s="46">
        <f t="shared" si="1"/>
        <v>35</v>
      </c>
      <c r="AG4" s="46">
        <f t="shared" si="1"/>
        <v>44</v>
      </c>
      <c r="AH4" s="46">
        <f t="shared" si="1"/>
        <v>5</v>
      </c>
      <c r="AI4" s="46">
        <f t="shared" si="1"/>
        <v>10</v>
      </c>
      <c r="AJ4" s="46">
        <f t="shared" si="1"/>
        <v>37</v>
      </c>
      <c r="AK4" s="46">
        <f t="shared" si="1"/>
        <v>48</v>
      </c>
      <c r="AL4" s="46">
        <f t="shared" si="1"/>
        <v>59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19</v>
      </c>
      <c r="I5" s="40">
        <f t="shared" si="0"/>
        <v>35</v>
      </c>
      <c r="J5" s="66">
        <f t="shared" si="0"/>
        <v>51</v>
      </c>
      <c r="K5" s="43">
        <f t="shared" si="0"/>
        <v>3</v>
      </c>
      <c r="L5" s="40">
        <f t="shared" si="0"/>
        <v>17</v>
      </c>
      <c r="M5" s="40">
        <f t="shared" si="0"/>
        <v>47</v>
      </c>
      <c r="N5" s="66">
        <f t="shared" si="0"/>
        <v>61</v>
      </c>
      <c r="O5" s="43">
        <f t="shared" si="0"/>
        <v>3</v>
      </c>
      <c r="P5" s="40">
        <f t="shared" si="0"/>
        <v>31</v>
      </c>
      <c r="Q5" s="40">
        <f t="shared" si="0"/>
        <v>43</v>
      </c>
      <c r="R5" s="66">
        <f t="shared" si="0"/>
        <v>55</v>
      </c>
      <c r="S5" s="43">
        <f t="shared" si="0"/>
        <v>3</v>
      </c>
      <c r="T5" s="40">
        <f t="shared" si="0"/>
        <v>29</v>
      </c>
      <c r="U5" s="40">
        <f t="shared" si="0"/>
        <v>39</v>
      </c>
      <c r="V5" s="66">
        <f t="shared" si="0"/>
        <v>49</v>
      </c>
      <c r="W5" s="46">
        <f t="shared" si="1"/>
        <v>11</v>
      </c>
      <c r="X5" s="46">
        <f t="shared" si="1"/>
        <v>26</v>
      </c>
      <c r="Y5" s="46">
        <f t="shared" si="1"/>
        <v>41</v>
      </c>
      <c r="Z5" s="46">
        <f t="shared" si="1"/>
        <v>8</v>
      </c>
      <c r="AA5" s="46">
        <f t="shared" si="1"/>
        <v>11</v>
      </c>
      <c r="AB5" s="46">
        <f t="shared" si="1"/>
        <v>40</v>
      </c>
      <c r="AC5" s="46">
        <f t="shared" si="1"/>
        <v>53</v>
      </c>
      <c r="AD5" s="46">
        <f t="shared" si="1"/>
        <v>2</v>
      </c>
      <c r="AE5" s="46">
        <f t="shared" si="1"/>
        <v>11</v>
      </c>
      <c r="AF5" s="46">
        <f t="shared" si="1"/>
        <v>36</v>
      </c>
      <c r="AG5" s="46">
        <f t="shared" si="1"/>
        <v>45</v>
      </c>
      <c r="AH5" s="46">
        <f t="shared" si="1"/>
        <v>6</v>
      </c>
      <c r="AI5" s="46">
        <f t="shared" si="1"/>
        <v>11</v>
      </c>
      <c r="AJ5" s="46">
        <f t="shared" si="1"/>
        <v>38</v>
      </c>
      <c r="AK5" s="46">
        <f t="shared" si="1"/>
        <v>49</v>
      </c>
      <c r="AL5" s="46">
        <f t="shared" si="1"/>
        <v>60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20</v>
      </c>
      <c r="I6" s="40">
        <f t="shared" si="0"/>
        <v>36</v>
      </c>
      <c r="J6" s="66">
        <f t="shared" si="0"/>
        <v>52</v>
      </c>
      <c r="K6" s="43">
        <f t="shared" si="0"/>
        <v>4</v>
      </c>
      <c r="L6" s="40">
        <f t="shared" si="0"/>
        <v>18</v>
      </c>
      <c r="M6" s="40">
        <f t="shared" si="0"/>
        <v>48</v>
      </c>
      <c r="N6" s="66">
        <f t="shared" si="0"/>
        <v>62</v>
      </c>
      <c r="O6" s="43">
        <f t="shared" si="0"/>
        <v>4</v>
      </c>
      <c r="P6" s="40">
        <f t="shared" si="0"/>
        <v>32</v>
      </c>
      <c r="Q6" s="40">
        <f t="shared" si="0"/>
        <v>44</v>
      </c>
      <c r="R6" s="66">
        <f t="shared" si="0"/>
        <v>56</v>
      </c>
      <c r="S6" s="43">
        <f t="shared" si="0"/>
        <v>4</v>
      </c>
      <c r="T6" s="40">
        <f t="shared" si="0"/>
        <v>30</v>
      </c>
      <c r="U6" s="40">
        <f t="shared" si="0"/>
        <v>40</v>
      </c>
      <c r="V6" s="66">
        <f t="shared" si="0"/>
        <v>50</v>
      </c>
      <c r="W6" s="46">
        <f t="shared" si="1"/>
        <v>12</v>
      </c>
      <c r="X6" s="46">
        <f t="shared" si="1"/>
        <v>27</v>
      </c>
      <c r="Y6" s="46">
        <f t="shared" si="1"/>
        <v>42</v>
      </c>
      <c r="Z6" s="46">
        <f t="shared" si="1"/>
        <v>57</v>
      </c>
      <c r="AA6" s="46">
        <f t="shared" si="1"/>
        <v>12</v>
      </c>
      <c r="AB6" s="46">
        <f t="shared" si="1"/>
        <v>25</v>
      </c>
      <c r="AC6" s="46">
        <f t="shared" si="1"/>
        <v>54</v>
      </c>
      <c r="AD6" s="46">
        <f t="shared" si="1"/>
        <v>3</v>
      </c>
      <c r="AE6" s="46">
        <f t="shared" si="1"/>
        <v>12</v>
      </c>
      <c r="AF6" s="46">
        <f t="shared" si="1"/>
        <v>37</v>
      </c>
      <c r="AG6" s="46">
        <f t="shared" si="1"/>
        <v>46</v>
      </c>
      <c r="AH6" s="46">
        <f t="shared" si="1"/>
        <v>7</v>
      </c>
      <c r="AI6" s="46">
        <f t="shared" si="1"/>
        <v>12</v>
      </c>
      <c r="AJ6" s="46">
        <f t="shared" si="1"/>
        <v>39</v>
      </c>
      <c r="AK6" s="46">
        <f t="shared" si="1"/>
        <v>50</v>
      </c>
      <c r="AL6" s="46">
        <f t="shared" si="1"/>
        <v>61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21</v>
      </c>
      <c r="I7" s="40">
        <f t="shared" si="0"/>
        <v>37</v>
      </c>
      <c r="J7" s="66">
        <f t="shared" si="0"/>
        <v>53</v>
      </c>
      <c r="K7" s="43">
        <f t="shared" si="0"/>
        <v>5</v>
      </c>
      <c r="L7" s="40">
        <f t="shared" si="0"/>
        <v>19</v>
      </c>
      <c r="M7" s="40">
        <f t="shared" si="0"/>
        <v>33</v>
      </c>
      <c r="N7" s="66">
        <f t="shared" si="0"/>
        <v>63</v>
      </c>
      <c r="O7" s="43">
        <f t="shared" si="0"/>
        <v>5</v>
      </c>
      <c r="P7" s="40">
        <f t="shared" si="0"/>
        <v>17</v>
      </c>
      <c r="Q7" s="40">
        <f t="shared" si="0"/>
        <v>45</v>
      </c>
      <c r="R7" s="66">
        <f t="shared" si="0"/>
        <v>57</v>
      </c>
      <c r="S7" s="43">
        <f t="shared" si="0"/>
        <v>5</v>
      </c>
      <c r="T7" s="40">
        <f t="shared" si="0"/>
        <v>31</v>
      </c>
      <c r="U7" s="40">
        <f t="shared" si="0"/>
        <v>41</v>
      </c>
      <c r="V7" s="66">
        <f t="shared" si="0"/>
        <v>51</v>
      </c>
      <c r="W7" s="46">
        <f t="shared" si="1"/>
        <v>13</v>
      </c>
      <c r="X7" s="46">
        <f t="shared" si="1"/>
        <v>28</v>
      </c>
      <c r="Y7" s="46">
        <f t="shared" si="1"/>
        <v>43</v>
      </c>
      <c r="Z7" s="46">
        <f t="shared" si="1"/>
        <v>58</v>
      </c>
      <c r="AA7" s="46">
        <f t="shared" si="1"/>
        <v>13</v>
      </c>
      <c r="AB7" s="46">
        <f t="shared" si="1"/>
        <v>26</v>
      </c>
      <c r="AC7" s="46">
        <f t="shared" si="1"/>
        <v>55</v>
      </c>
      <c r="AD7" s="46">
        <f t="shared" si="1"/>
        <v>4</v>
      </c>
      <c r="AE7" s="46">
        <f t="shared" si="1"/>
        <v>13</v>
      </c>
      <c r="AF7" s="46">
        <f t="shared" si="1"/>
        <v>38</v>
      </c>
      <c r="AG7" s="46">
        <f t="shared" si="1"/>
        <v>47</v>
      </c>
      <c r="AH7" s="46">
        <f t="shared" si="1"/>
        <v>8</v>
      </c>
      <c r="AI7" s="46">
        <f t="shared" si="1"/>
        <v>13</v>
      </c>
      <c r="AJ7" s="46">
        <f t="shared" si="1"/>
        <v>40</v>
      </c>
      <c r="AK7" s="46">
        <f t="shared" si="1"/>
        <v>51</v>
      </c>
      <c r="AL7" s="46">
        <f t="shared" si="1"/>
        <v>62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22</v>
      </c>
      <c r="I8" s="40">
        <f t="shared" si="0"/>
        <v>38</v>
      </c>
      <c r="J8" s="66">
        <f t="shared" si="0"/>
        <v>54</v>
      </c>
      <c r="K8" s="43">
        <f t="shared" si="0"/>
        <v>6</v>
      </c>
      <c r="L8" s="40">
        <f t="shared" si="0"/>
        <v>20</v>
      </c>
      <c r="M8" s="40">
        <f t="shared" si="0"/>
        <v>34</v>
      </c>
      <c r="N8" s="66">
        <f t="shared" si="0"/>
        <v>64</v>
      </c>
      <c r="O8" s="43">
        <f t="shared" si="0"/>
        <v>6</v>
      </c>
      <c r="P8" s="40">
        <f t="shared" si="0"/>
        <v>18</v>
      </c>
      <c r="Q8" s="40">
        <f t="shared" si="0"/>
        <v>46</v>
      </c>
      <c r="R8" s="66">
        <f t="shared" si="0"/>
        <v>58</v>
      </c>
      <c r="S8" s="43">
        <f t="shared" si="0"/>
        <v>6</v>
      </c>
      <c r="T8" s="40">
        <f t="shared" si="0"/>
        <v>32</v>
      </c>
      <c r="U8" s="40">
        <f t="shared" si="0"/>
        <v>42</v>
      </c>
      <c r="V8" s="66">
        <f t="shared" si="0"/>
        <v>52</v>
      </c>
      <c r="W8" s="46">
        <f t="shared" si="1"/>
        <v>14</v>
      </c>
      <c r="X8" s="46">
        <f t="shared" si="1"/>
        <v>29</v>
      </c>
      <c r="Y8" s="46">
        <f t="shared" si="1"/>
        <v>44</v>
      </c>
      <c r="Z8" s="46">
        <f t="shared" si="1"/>
        <v>59</v>
      </c>
      <c r="AA8" s="46">
        <f t="shared" si="1"/>
        <v>14</v>
      </c>
      <c r="AB8" s="46">
        <f t="shared" si="1"/>
        <v>27</v>
      </c>
      <c r="AC8" s="46">
        <f t="shared" si="1"/>
        <v>56</v>
      </c>
      <c r="AD8" s="46">
        <f t="shared" si="1"/>
        <v>5</v>
      </c>
      <c r="AE8" s="46">
        <f t="shared" si="1"/>
        <v>14</v>
      </c>
      <c r="AF8" s="46">
        <f t="shared" si="1"/>
        <v>39</v>
      </c>
      <c r="AG8" s="46">
        <f t="shared" si="1"/>
        <v>48</v>
      </c>
      <c r="AH8" s="46">
        <f t="shared" si="1"/>
        <v>57</v>
      </c>
      <c r="AI8" s="46">
        <f t="shared" si="1"/>
        <v>14</v>
      </c>
      <c r="AJ8" s="46">
        <f t="shared" si="1"/>
        <v>25</v>
      </c>
      <c r="AK8" s="46">
        <f t="shared" si="1"/>
        <v>52</v>
      </c>
      <c r="AL8" s="46">
        <f t="shared" si="1"/>
        <v>63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23</v>
      </c>
      <c r="I9" s="40">
        <f t="shared" si="0"/>
        <v>39</v>
      </c>
      <c r="J9" s="66">
        <f t="shared" si="0"/>
        <v>55</v>
      </c>
      <c r="K9" s="43">
        <f t="shared" si="0"/>
        <v>7</v>
      </c>
      <c r="L9" s="40">
        <f t="shared" si="0"/>
        <v>21</v>
      </c>
      <c r="M9" s="40">
        <f t="shared" si="0"/>
        <v>35</v>
      </c>
      <c r="N9" s="66">
        <f t="shared" si="0"/>
        <v>49</v>
      </c>
      <c r="O9" s="43">
        <f t="shared" si="0"/>
        <v>7</v>
      </c>
      <c r="P9" s="40">
        <f t="shared" si="0"/>
        <v>19</v>
      </c>
      <c r="Q9" s="40">
        <f t="shared" si="0"/>
        <v>47</v>
      </c>
      <c r="R9" s="66">
        <f t="shared" si="0"/>
        <v>59</v>
      </c>
      <c r="S9" s="43">
        <f t="shared" si="0"/>
        <v>7</v>
      </c>
      <c r="T9" s="40">
        <f t="shared" si="0"/>
        <v>17</v>
      </c>
      <c r="U9" s="40">
        <f t="shared" si="0"/>
        <v>43</v>
      </c>
      <c r="V9" s="66">
        <f t="shared" si="0"/>
        <v>53</v>
      </c>
      <c r="W9" s="46">
        <f t="shared" si="1"/>
        <v>15</v>
      </c>
      <c r="X9" s="46">
        <f t="shared" si="1"/>
        <v>30</v>
      </c>
      <c r="Y9" s="46">
        <f t="shared" si="1"/>
        <v>45</v>
      </c>
      <c r="Z9" s="46">
        <f t="shared" si="1"/>
        <v>60</v>
      </c>
      <c r="AA9" s="46">
        <f t="shared" si="1"/>
        <v>15</v>
      </c>
      <c r="AB9" s="46">
        <f t="shared" si="1"/>
        <v>28</v>
      </c>
      <c r="AC9" s="46">
        <f t="shared" si="1"/>
        <v>41</v>
      </c>
      <c r="AD9" s="46">
        <f t="shared" si="1"/>
        <v>6</v>
      </c>
      <c r="AE9" s="46">
        <f t="shared" si="1"/>
        <v>15</v>
      </c>
      <c r="AF9" s="46">
        <f t="shared" si="1"/>
        <v>40</v>
      </c>
      <c r="AG9" s="46">
        <f t="shared" si="1"/>
        <v>49</v>
      </c>
      <c r="AH9" s="46">
        <f t="shared" si="1"/>
        <v>58</v>
      </c>
      <c r="AI9" s="46">
        <f t="shared" si="1"/>
        <v>15</v>
      </c>
      <c r="AJ9" s="46">
        <f t="shared" si="1"/>
        <v>26</v>
      </c>
      <c r="AK9" s="46">
        <f t="shared" si="1"/>
        <v>53</v>
      </c>
      <c r="AL9" s="46">
        <f t="shared" si="1"/>
        <v>64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24</v>
      </c>
      <c r="I10" s="40">
        <f t="shared" si="0"/>
        <v>40</v>
      </c>
      <c r="J10" s="66">
        <f t="shared" si="0"/>
        <v>56</v>
      </c>
      <c r="K10" s="43">
        <f t="shared" si="0"/>
        <v>8</v>
      </c>
      <c r="L10" s="40">
        <f t="shared" si="0"/>
        <v>22</v>
      </c>
      <c r="M10" s="40">
        <f t="shared" si="0"/>
        <v>36</v>
      </c>
      <c r="N10" s="66">
        <f t="shared" si="0"/>
        <v>50</v>
      </c>
      <c r="O10" s="43">
        <f t="shared" si="0"/>
        <v>8</v>
      </c>
      <c r="P10" s="40">
        <f t="shared" si="0"/>
        <v>20</v>
      </c>
      <c r="Q10" s="40">
        <f t="shared" si="0"/>
        <v>48</v>
      </c>
      <c r="R10" s="66">
        <f t="shared" si="0"/>
        <v>60</v>
      </c>
      <c r="S10" s="43">
        <f t="shared" si="0"/>
        <v>8</v>
      </c>
      <c r="T10" s="40">
        <f t="shared" si="0"/>
        <v>18</v>
      </c>
      <c r="U10" s="40">
        <f t="shared" si="0"/>
        <v>44</v>
      </c>
      <c r="V10" s="66">
        <f t="shared" si="0"/>
        <v>54</v>
      </c>
      <c r="W10" s="46">
        <f t="shared" si="1"/>
        <v>16</v>
      </c>
      <c r="X10" s="46">
        <f t="shared" si="1"/>
        <v>31</v>
      </c>
      <c r="Y10" s="46">
        <f t="shared" si="1"/>
        <v>46</v>
      </c>
      <c r="Z10" s="46">
        <f t="shared" si="1"/>
        <v>61</v>
      </c>
      <c r="AA10" s="46">
        <f t="shared" si="1"/>
        <v>16</v>
      </c>
      <c r="AB10" s="46">
        <f t="shared" si="1"/>
        <v>29</v>
      </c>
      <c r="AC10" s="46">
        <f t="shared" si="1"/>
        <v>42</v>
      </c>
      <c r="AD10" s="46">
        <f t="shared" si="1"/>
        <v>7</v>
      </c>
      <c r="AE10" s="46">
        <f t="shared" si="1"/>
        <v>16</v>
      </c>
      <c r="AF10" s="46">
        <f t="shared" si="1"/>
        <v>25</v>
      </c>
      <c r="AG10" s="46">
        <f t="shared" si="1"/>
        <v>50</v>
      </c>
      <c r="AH10" s="46">
        <f t="shared" si="1"/>
        <v>59</v>
      </c>
      <c r="AI10" s="46">
        <f t="shared" si="1"/>
        <v>16</v>
      </c>
      <c r="AJ10" s="46">
        <f t="shared" si="1"/>
        <v>27</v>
      </c>
      <c r="AK10" s="46">
        <f t="shared" si="1"/>
        <v>54</v>
      </c>
      <c r="AL10" s="46">
        <f t="shared" si="1"/>
        <v>1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25</v>
      </c>
      <c r="I11" s="40">
        <f t="shared" si="0"/>
        <v>41</v>
      </c>
      <c r="J11" s="66">
        <f t="shared" si="0"/>
        <v>57</v>
      </c>
      <c r="K11" s="43">
        <f t="shared" si="0"/>
        <v>9</v>
      </c>
      <c r="L11" s="40">
        <f t="shared" si="0"/>
        <v>23</v>
      </c>
      <c r="M11" s="40">
        <f t="shared" si="0"/>
        <v>37</v>
      </c>
      <c r="N11" s="66">
        <f t="shared" si="0"/>
        <v>51</v>
      </c>
      <c r="O11" s="43">
        <f t="shared" si="0"/>
        <v>9</v>
      </c>
      <c r="P11" s="40">
        <f t="shared" si="0"/>
        <v>21</v>
      </c>
      <c r="Q11" s="40">
        <f t="shared" si="0"/>
        <v>33</v>
      </c>
      <c r="R11" s="66">
        <f t="shared" si="0"/>
        <v>61</v>
      </c>
      <c r="S11" s="43">
        <f t="shared" si="0"/>
        <v>9</v>
      </c>
      <c r="T11" s="40">
        <f t="shared" si="0"/>
        <v>19</v>
      </c>
      <c r="U11" s="40">
        <f t="shared" si="0"/>
        <v>45</v>
      </c>
      <c r="V11" s="66">
        <f t="shared" si="0"/>
        <v>55</v>
      </c>
      <c r="W11" s="46">
        <f t="shared" si="1"/>
        <v>17</v>
      </c>
      <c r="X11" s="46">
        <f t="shared" si="1"/>
        <v>32</v>
      </c>
      <c r="Y11" s="46">
        <f t="shared" si="1"/>
        <v>47</v>
      </c>
      <c r="Z11" s="46">
        <f t="shared" si="1"/>
        <v>62</v>
      </c>
      <c r="AA11" s="46">
        <f t="shared" si="1"/>
        <v>17</v>
      </c>
      <c r="AB11" s="46">
        <f t="shared" si="1"/>
        <v>30</v>
      </c>
      <c r="AC11" s="46">
        <f t="shared" si="1"/>
        <v>43</v>
      </c>
      <c r="AD11" s="46">
        <f t="shared" si="1"/>
        <v>8</v>
      </c>
      <c r="AE11" s="46">
        <f t="shared" si="1"/>
        <v>17</v>
      </c>
      <c r="AF11" s="46">
        <f t="shared" si="1"/>
        <v>26</v>
      </c>
      <c r="AG11" s="46">
        <f t="shared" si="1"/>
        <v>51</v>
      </c>
      <c r="AH11" s="46">
        <f t="shared" si="1"/>
        <v>60</v>
      </c>
      <c r="AI11" s="46">
        <f t="shared" si="1"/>
        <v>17</v>
      </c>
      <c r="AJ11" s="46">
        <f t="shared" si="1"/>
        <v>28</v>
      </c>
      <c r="AK11" s="46">
        <f t="shared" si="1"/>
        <v>55</v>
      </c>
      <c r="AL11" s="46">
        <f t="shared" si="1"/>
        <v>2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26</v>
      </c>
      <c r="I12" s="40">
        <f t="shared" si="0"/>
        <v>42</v>
      </c>
      <c r="J12" s="66">
        <f t="shared" si="0"/>
        <v>58</v>
      </c>
      <c r="K12" s="43">
        <f t="shared" si="0"/>
        <v>10</v>
      </c>
      <c r="L12" s="40">
        <f t="shared" si="0"/>
        <v>24</v>
      </c>
      <c r="M12" s="40">
        <f t="shared" si="0"/>
        <v>38</v>
      </c>
      <c r="N12" s="66">
        <f t="shared" si="0"/>
        <v>52</v>
      </c>
      <c r="O12" s="43">
        <f t="shared" si="0"/>
        <v>10</v>
      </c>
      <c r="P12" s="40">
        <f t="shared" si="0"/>
        <v>22</v>
      </c>
      <c r="Q12" s="40">
        <f t="shared" si="0"/>
        <v>34</v>
      </c>
      <c r="R12" s="66">
        <f t="shared" si="0"/>
        <v>62</v>
      </c>
      <c r="S12" s="43">
        <f t="shared" si="0"/>
        <v>10</v>
      </c>
      <c r="T12" s="40">
        <f t="shared" si="0"/>
        <v>20</v>
      </c>
      <c r="U12" s="40">
        <f t="shared" si="0"/>
        <v>46</v>
      </c>
      <c r="V12" s="66">
        <f t="shared" si="0"/>
        <v>56</v>
      </c>
      <c r="W12" s="46">
        <f t="shared" si="1"/>
        <v>18</v>
      </c>
      <c r="X12" s="46">
        <f t="shared" si="1"/>
        <v>33</v>
      </c>
      <c r="Y12" s="46">
        <f t="shared" si="1"/>
        <v>48</v>
      </c>
      <c r="Z12" s="46">
        <f t="shared" si="1"/>
        <v>63</v>
      </c>
      <c r="AA12" s="46">
        <f t="shared" si="1"/>
        <v>18</v>
      </c>
      <c r="AB12" s="46">
        <f t="shared" si="1"/>
        <v>31</v>
      </c>
      <c r="AC12" s="46">
        <f t="shared" si="1"/>
        <v>44</v>
      </c>
      <c r="AD12" s="46">
        <f t="shared" si="1"/>
        <v>57</v>
      </c>
      <c r="AE12" s="46">
        <f t="shared" si="1"/>
        <v>18</v>
      </c>
      <c r="AF12" s="46">
        <f t="shared" si="1"/>
        <v>27</v>
      </c>
      <c r="AG12" s="46">
        <f t="shared" si="1"/>
        <v>52</v>
      </c>
      <c r="AH12" s="46">
        <f t="shared" si="1"/>
        <v>61</v>
      </c>
      <c r="AI12" s="46">
        <f t="shared" si="1"/>
        <v>18</v>
      </c>
      <c r="AJ12" s="46">
        <f t="shared" si="1"/>
        <v>29</v>
      </c>
      <c r="AK12" s="46">
        <f t="shared" si="1"/>
        <v>56</v>
      </c>
      <c r="AL12" s="46">
        <f t="shared" si="1"/>
        <v>3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27</v>
      </c>
      <c r="I13" s="40">
        <f t="shared" si="0"/>
        <v>43</v>
      </c>
      <c r="J13" s="66">
        <f t="shared" si="0"/>
        <v>59</v>
      </c>
      <c r="K13" s="43">
        <f t="shared" si="0"/>
        <v>11</v>
      </c>
      <c r="L13" s="40">
        <f t="shared" si="0"/>
        <v>25</v>
      </c>
      <c r="M13" s="40">
        <f t="shared" si="0"/>
        <v>39</v>
      </c>
      <c r="N13" s="66">
        <f t="shared" si="0"/>
        <v>53</v>
      </c>
      <c r="O13" s="43">
        <f t="shared" si="0"/>
        <v>11</v>
      </c>
      <c r="P13" s="40">
        <f t="shared" si="0"/>
        <v>23</v>
      </c>
      <c r="Q13" s="40">
        <f t="shared" si="0"/>
        <v>35</v>
      </c>
      <c r="R13" s="66">
        <f t="shared" si="0"/>
        <v>63</v>
      </c>
      <c r="S13" s="43">
        <f t="shared" si="0"/>
        <v>11</v>
      </c>
      <c r="T13" s="40">
        <f t="shared" si="0"/>
        <v>21</v>
      </c>
      <c r="U13" s="40">
        <f t="shared" si="0"/>
        <v>47</v>
      </c>
      <c r="V13" s="66">
        <f t="shared" si="0"/>
        <v>57</v>
      </c>
      <c r="W13" s="46">
        <f t="shared" si="1"/>
        <v>19</v>
      </c>
      <c r="X13" s="46">
        <f t="shared" si="1"/>
        <v>34</v>
      </c>
      <c r="Y13" s="46">
        <f t="shared" si="1"/>
        <v>49</v>
      </c>
      <c r="Z13" s="46">
        <f t="shared" si="1"/>
        <v>64</v>
      </c>
      <c r="AA13" s="46">
        <f t="shared" si="1"/>
        <v>19</v>
      </c>
      <c r="AB13" s="46">
        <f t="shared" si="1"/>
        <v>32</v>
      </c>
      <c r="AC13" s="46">
        <f t="shared" si="1"/>
        <v>45</v>
      </c>
      <c r="AD13" s="46">
        <f t="shared" si="1"/>
        <v>58</v>
      </c>
      <c r="AE13" s="46">
        <f t="shared" si="1"/>
        <v>19</v>
      </c>
      <c r="AF13" s="46">
        <f t="shared" si="1"/>
        <v>28</v>
      </c>
      <c r="AG13" s="46">
        <f t="shared" si="1"/>
        <v>53</v>
      </c>
      <c r="AH13" s="46">
        <f t="shared" si="1"/>
        <v>62</v>
      </c>
      <c r="AI13" s="46">
        <f t="shared" si="1"/>
        <v>19</v>
      </c>
      <c r="AJ13" s="46">
        <f t="shared" si="1"/>
        <v>30</v>
      </c>
      <c r="AK13" s="46">
        <f t="shared" si="1"/>
        <v>41</v>
      </c>
      <c r="AL13" s="46">
        <f t="shared" si="1"/>
        <v>4</v>
      </c>
    </row>
    <row r="14" spans="1:38" x14ac:dyDescent="0.35">
      <c r="A14" s="18">
        <v>11</v>
      </c>
      <c r="B14" s="19" t="s">
        <v>18</v>
      </c>
      <c r="D14">
        <f>$B$2/$C$2-$E$2/2+1</f>
        <v>12</v>
      </c>
      <c r="E14">
        <f>$B$2/$C$2+$E$2/2</f>
        <v>21</v>
      </c>
      <c r="G14" s="43">
        <f t="shared" si="0"/>
        <v>12</v>
      </c>
      <c r="H14" s="40">
        <f t="shared" si="0"/>
        <v>28</v>
      </c>
      <c r="I14" s="40">
        <f t="shared" si="0"/>
        <v>44</v>
      </c>
      <c r="J14" s="66">
        <f t="shared" si="0"/>
        <v>60</v>
      </c>
      <c r="K14" s="43">
        <f t="shared" si="0"/>
        <v>12</v>
      </c>
      <c r="L14" s="40">
        <f t="shared" si="0"/>
        <v>26</v>
      </c>
      <c r="M14" s="40">
        <f t="shared" si="0"/>
        <v>40</v>
      </c>
      <c r="N14" s="66">
        <f t="shared" si="0"/>
        <v>54</v>
      </c>
      <c r="O14" s="43">
        <f t="shared" si="0"/>
        <v>12</v>
      </c>
      <c r="P14" s="40">
        <f t="shared" si="0"/>
        <v>24</v>
      </c>
      <c r="Q14" s="40">
        <f t="shared" si="0"/>
        <v>36</v>
      </c>
      <c r="R14" s="66">
        <f t="shared" si="0"/>
        <v>64</v>
      </c>
      <c r="S14" s="43">
        <f t="shared" si="0"/>
        <v>12</v>
      </c>
      <c r="T14" s="40">
        <f t="shared" si="0"/>
        <v>22</v>
      </c>
      <c r="U14" s="40">
        <f t="shared" si="0"/>
        <v>48</v>
      </c>
      <c r="V14" s="66">
        <f t="shared" si="0"/>
        <v>58</v>
      </c>
      <c r="W14" s="46">
        <f t="shared" si="1"/>
        <v>20</v>
      </c>
      <c r="X14" s="46">
        <f t="shared" si="1"/>
        <v>35</v>
      </c>
      <c r="Y14" s="46">
        <f t="shared" si="1"/>
        <v>50</v>
      </c>
      <c r="Z14" s="46">
        <f t="shared" si="1"/>
        <v>1</v>
      </c>
      <c r="AA14" s="46">
        <f t="shared" si="1"/>
        <v>20</v>
      </c>
      <c r="AB14" s="46">
        <f t="shared" si="1"/>
        <v>33</v>
      </c>
      <c r="AC14" s="46">
        <f t="shared" si="1"/>
        <v>46</v>
      </c>
      <c r="AD14" s="46">
        <f t="shared" si="1"/>
        <v>59</v>
      </c>
      <c r="AE14" s="46">
        <f t="shared" si="1"/>
        <v>20</v>
      </c>
      <c r="AF14" s="46">
        <f t="shared" si="1"/>
        <v>29</v>
      </c>
      <c r="AG14" s="46">
        <f t="shared" si="1"/>
        <v>54</v>
      </c>
      <c r="AH14" s="46">
        <f t="shared" si="1"/>
        <v>63</v>
      </c>
      <c r="AI14" s="46">
        <f t="shared" si="1"/>
        <v>20</v>
      </c>
      <c r="AJ14" s="46">
        <f t="shared" si="1"/>
        <v>31</v>
      </c>
      <c r="AK14" s="46">
        <f t="shared" si="1"/>
        <v>42</v>
      </c>
      <c r="AL14" s="46">
        <f t="shared" si="1"/>
        <v>5</v>
      </c>
    </row>
    <row r="15" spans="1:38" x14ac:dyDescent="0.35">
      <c r="A15" s="18">
        <v>12</v>
      </c>
      <c r="B15" s="19" t="s">
        <v>18</v>
      </c>
      <c r="D15">
        <f>2*$B$2/$C$2-$E$2/2+1</f>
        <v>28</v>
      </c>
      <c r="E15">
        <f>2*$B$2/$C$2+$E$2/2</f>
        <v>37</v>
      </c>
      <c r="G15" s="43">
        <f t="shared" si="0"/>
        <v>13</v>
      </c>
      <c r="H15" s="40">
        <f t="shared" si="0"/>
        <v>29</v>
      </c>
      <c r="I15" s="40">
        <f t="shared" si="0"/>
        <v>45</v>
      </c>
      <c r="J15" s="66">
        <f t="shared" si="0"/>
        <v>61</v>
      </c>
      <c r="K15" s="43">
        <f t="shared" si="0"/>
        <v>13</v>
      </c>
      <c r="L15" s="40">
        <f t="shared" si="0"/>
        <v>27</v>
      </c>
      <c r="M15" s="40">
        <f t="shared" si="0"/>
        <v>41</v>
      </c>
      <c r="N15" s="66">
        <f t="shared" si="0"/>
        <v>55</v>
      </c>
      <c r="O15" s="43">
        <f t="shared" si="0"/>
        <v>13</v>
      </c>
      <c r="P15" s="40">
        <f t="shared" si="0"/>
        <v>25</v>
      </c>
      <c r="Q15" s="40">
        <f t="shared" si="0"/>
        <v>37</v>
      </c>
      <c r="R15" s="66">
        <f t="shared" si="0"/>
        <v>49</v>
      </c>
      <c r="S15" s="43">
        <f t="shared" si="0"/>
        <v>13</v>
      </c>
      <c r="T15" s="40">
        <f t="shared" si="0"/>
        <v>23</v>
      </c>
      <c r="U15" s="40">
        <f t="shared" si="0"/>
        <v>33</v>
      </c>
      <c r="V15" s="66">
        <f t="shared" si="0"/>
        <v>59</v>
      </c>
      <c r="W15" s="46">
        <f t="shared" si="1"/>
        <v>21</v>
      </c>
      <c r="X15" s="46">
        <f t="shared" si="1"/>
        <v>36</v>
      </c>
      <c r="Y15" s="46">
        <f t="shared" si="1"/>
        <v>51</v>
      </c>
      <c r="Z15" s="46">
        <f t="shared" si="1"/>
        <v>2</v>
      </c>
      <c r="AA15" s="46">
        <f t="shared" si="1"/>
        <v>21</v>
      </c>
      <c r="AB15" s="46">
        <f t="shared" si="1"/>
        <v>34</v>
      </c>
      <c r="AC15" s="46">
        <f t="shared" si="1"/>
        <v>47</v>
      </c>
      <c r="AD15" s="46">
        <f t="shared" si="1"/>
        <v>60</v>
      </c>
      <c r="AE15" s="46">
        <f t="shared" si="1"/>
        <v>21</v>
      </c>
      <c r="AF15" s="46">
        <f t="shared" si="1"/>
        <v>30</v>
      </c>
      <c r="AG15" s="46">
        <f t="shared" si="1"/>
        <v>55</v>
      </c>
      <c r="AH15" s="46">
        <f t="shared" si="1"/>
        <v>64</v>
      </c>
      <c r="AI15" s="46">
        <f t="shared" si="1"/>
        <v>21</v>
      </c>
      <c r="AJ15" s="46">
        <f t="shared" si="1"/>
        <v>32</v>
      </c>
      <c r="AK15" s="46">
        <f t="shared" si="1"/>
        <v>43</v>
      </c>
      <c r="AL15" s="46">
        <f t="shared" si="1"/>
        <v>6</v>
      </c>
    </row>
    <row r="16" spans="1:38" x14ac:dyDescent="0.35">
      <c r="A16" s="18">
        <v>13</v>
      </c>
      <c r="B16" s="19" t="s">
        <v>18</v>
      </c>
      <c r="D16">
        <f>3*$B$2/$C$2-$E$2/2+1</f>
        <v>44</v>
      </c>
      <c r="E16">
        <f>3*$B$2/$C$2+$E$2/2</f>
        <v>53</v>
      </c>
      <c r="G16" s="43">
        <f t="shared" si="0"/>
        <v>14</v>
      </c>
      <c r="H16" s="40">
        <f t="shared" si="0"/>
        <v>30</v>
      </c>
      <c r="I16" s="40">
        <f t="shared" si="0"/>
        <v>46</v>
      </c>
      <c r="J16" s="66">
        <f t="shared" si="0"/>
        <v>62</v>
      </c>
      <c r="K16" s="43">
        <f t="shared" si="0"/>
        <v>14</v>
      </c>
      <c r="L16" s="40">
        <f t="shared" si="0"/>
        <v>28</v>
      </c>
      <c r="M16" s="40">
        <f t="shared" si="0"/>
        <v>42</v>
      </c>
      <c r="N16" s="66">
        <f t="shared" si="0"/>
        <v>56</v>
      </c>
      <c r="O16" s="43">
        <f t="shared" si="0"/>
        <v>14</v>
      </c>
      <c r="P16" s="40">
        <f t="shared" si="0"/>
        <v>26</v>
      </c>
      <c r="Q16" s="40">
        <f t="shared" si="0"/>
        <v>38</v>
      </c>
      <c r="R16" s="66">
        <f t="shared" si="0"/>
        <v>50</v>
      </c>
      <c r="S16" s="43">
        <f t="shared" si="0"/>
        <v>14</v>
      </c>
      <c r="T16" s="40">
        <f t="shared" si="0"/>
        <v>24</v>
      </c>
      <c r="U16" s="40">
        <f t="shared" si="0"/>
        <v>34</v>
      </c>
      <c r="V16" s="66">
        <f t="shared" si="0"/>
        <v>60</v>
      </c>
      <c r="W16" s="46">
        <f t="shared" si="1"/>
        <v>22</v>
      </c>
      <c r="X16" s="46">
        <f t="shared" si="1"/>
        <v>37</v>
      </c>
      <c r="Y16" s="46">
        <f t="shared" si="1"/>
        <v>52</v>
      </c>
      <c r="Z16" s="46">
        <f t="shared" si="1"/>
        <v>3</v>
      </c>
      <c r="AA16" s="46">
        <f t="shared" si="1"/>
        <v>22</v>
      </c>
      <c r="AB16" s="46">
        <f t="shared" si="1"/>
        <v>35</v>
      </c>
      <c r="AC16" s="46">
        <f t="shared" si="1"/>
        <v>48</v>
      </c>
      <c r="AD16" s="46">
        <f t="shared" si="1"/>
        <v>61</v>
      </c>
      <c r="AE16" s="46">
        <f t="shared" si="1"/>
        <v>22</v>
      </c>
      <c r="AF16" s="46">
        <f t="shared" si="1"/>
        <v>31</v>
      </c>
      <c r="AG16" s="46">
        <f t="shared" si="1"/>
        <v>56</v>
      </c>
      <c r="AH16" s="46">
        <f t="shared" si="1"/>
        <v>1</v>
      </c>
      <c r="AI16" s="46">
        <f t="shared" si="1"/>
        <v>22</v>
      </c>
      <c r="AJ16" s="46">
        <f t="shared" si="1"/>
        <v>33</v>
      </c>
      <c r="AK16" s="46">
        <f t="shared" si="1"/>
        <v>44</v>
      </c>
      <c r="AL16" s="46">
        <f t="shared" si="1"/>
        <v>7</v>
      </c>
    </row>
    <row r="17" spans="1:38" x14ac:dyDescent="0.35">
      <c r="A17" s="3">
        <v>14</v>
      </c>
      <c r="B17" s="22" t="s">
        <v>19</v>
      </c>
      <c r="D17">
        <f>$B$2-2</f>
        <v>62</v>
      </c>
      <c r="E17">
        <f>$B$2</f>
        <v>64</v>
      </c>
      <c r="G17" s="43">
        <f t="shared" si="0"/>
        <v>15</v>
      </c>
      <c r="H17" s="40">
        <f t="shared" si="0"/>
        <v>31</v>
      </c>
      <c r="I17" s="40">
        <f t="shared" si="0"/>
        <v>47</v>
      </c>
      <c r="J17" s="66">
        <f t="shared" si="0"/>
        <v>63</v>
      </c>
      <c r="K17" s="43">
        <f t="shared" si="0"/>
        <v>15</v>
      </c>
      <c r="L17" s="40">
        <f t="shared" si="0"/>
        <v>29</v>
      </c>
      <c r="M17" s="40">
        <f t="shared" si="0"/>
        <v>43</v>
      </c>
      <c r="N17" s="66">
        <f t="shared" si="0"/>
        <v>57</v>
      </c>
      <c r="O17" s="43">
        <f t="shared" si="0"/>
        <v>15</v>
      </c>
      <c r="P17" s="40">
        <f t="shared" si="0"/>
        <v>27</v>
      </c>
      <c r="Q17" s="40">
        <f t="shared" si="0"/>
        <v>39</v>
      </c>
      <c r="R17" s="66">
        <f t="shared" si="0"/>
        <v>51</v>
      </c>
      <c r="S17" s="43">
        <f t="shared" si="0"/>
        <v>15</v>
      </c>
      <c r="T17" s="40">
        <f t="shared" si="0"/>
        <v>25</v>
      </c>
      <c r="U17" s="40">
        <f t="shared" si="0"/>
        <v>35</v>
      </c>
      <c r="V17" s="66">
        <f t="shared" si="0"/>
        <v>61</v>
      </c>
      <c r="W17" s="46">
        <f t="shared" si="1"/>
        <v>23</v>
      </c>
      <c r="X17" s="46">
        <f t="shared" si="1"/>
        <v>38</v>
      </c>
      <c r="Y17" s="46">
        <f t="shared" si="1"/>
        <v>53</v>
      </c>
      <c r="Z17" s="46">
        <f t="shared" si="1"/>
        <v>4</v>
      </c>
      <c r="AA17" s="46">
        <f t="shared" si="1"/>
        <v>23</v>
      </c>
      <c r="AB17" s="46">
        <f t="shared" si="1"/>
        <v>36</v>
      </c>
      <c r="AC17" s="46">
        <f t="shared" si="1"/>
        <v>49</v>
      </c>
      <c r="AD17" s="46">
        <f t="shared" si="1"/>
        <v>62</v>
      </c>
      <c r="AE17" s="46">
        <f t="shared" si="1"/>
        <v>23</v>
      </c>
      <c r="AF17" s="46">
        <f t="shared" si="1"/>
        <v>32</v>
      </c>
      <c r="AG17" s="46">
        <f t="shared" si="1"/>
        <v>41</v>
      </c>
      <c r="AH17" s="46">
        <f t="shared" si="1"/>
        <v>2</v>
      </c>
      <c r="AI17" s="46">
        <f t="shared" si="1"/>
        <v>23</v>
      </c>
      <c r="AJ17" s="46">
        <f t="shared" si="1"/>
        <v>34</v>
      </c>
      <c r="AK17" s="46">
        <f t="shared" si="1"/>
        <v>45</v>
      </c>
      <c r="AL17" s="46">
        <f t="shared" si="1"/>
        <v>8</v>
      </c>
    </row>
    <row r="18" spans="1:38" x14ac:dyDescent="0.35">
      <c r="A18" s="3">
        <v>15</v>
      </c>
      <c r="B18" s="22" t="s">
        <v>19</v>
      </c>
      <c r="G18" s="43">
        <f t="shared" si="0"/>
        <v>16</v>
      </c>
      <c r="H18" s="40">
        <f t="shared" si="0"/>
        <v>32</v>
      </c>
      <c r="I18" s="40">
        <f t="shared" si="0"/>
        <v>48</v>
      </c>
      <c r="J18" s="66">
        <f t="shared" si="0"/>
        <v>64</v>
      </c>
      <c r="K18" s="43">
        <f t="shared" si="0"/>
        <v>16</v>
      </c>
      <c r="L18" s="40">
        <f t="shared" si="0"/>
        <v>30</v>
      </c>
      <c r="M18" s="40">
        <f t="shared" si="0"/>
        <v>44</v>
      </c>
      <c r="N18" s="66">
        <f t="shared" si="0"/>
        <v>58</v>
      </c>
      <c r="O18" s="43">
        <f t="shared" si="0"/>
        <v>16</v>
      </c>
      <c r="P18" s="40">
        <f t="shared" si="0"/>
        <v>28</v>
      </c>
      <c r="Q18" s="40">
        <f t="shared" si="0"/>
        <v>40</v>
      </c>
      <c r="R18" s="66">
        <f t="shared" si="0"/>
        <v>52</v>
      </c>
      <c r="S18" s="43">
        <f t="shared" si="0"/>
        <v>16</v>
      </c>
      <c r="T18" s="40">
        <f t="shared" si="0"/>
        <v>26</v>
      </c>
      <c r="U18" s="40">
        <f t="shared" si="0"/>
        <v>36</v>
      </c>
      <c r="V18" s="66">
        <f t="shared" ref="V18" si="2">MOD($A18-V$1*V$2,$B$2/4)+V$2*$B$2/4+1</f>
        <v>62</v>
      </c>
      <c r="W18" s="46">
        <f t="shared" si="1"/>
        <v>24</v>
      </c>
      <c r="X18" s="46">
        <f t="shared" si="1"/>
        <v>39</v>
      </c>
      <c r="Y18" s="46">
        <f t="shared" si="1"/>
        <v>54</v>
      </c>
      <c r="Z18" s="46">
        <f t="shared" si="1"/>
        <v>5</v>
      </c>
      <c r="AA18" s="46">
        <f t="shared" si="1"/>
        <v>24</v>
      </c>
      <c r="AB18" s="46">
        <f t="shared" si="1"/>
        <v>37</v>
      </c>
      <c r="AC18" s="46">
        <f t="shared" si="1"/>
        <v>50</v>
      </c>
      <c r="AD18" s="46">
        <f t="shared" si="1"/>
        <v>63</v>
      </c>
      <c r="AE18" s="46">
        <f t="shared" si="1"/>
        <v>24</v>
      </c>
      <c r="AF18" s="46">
        <f t="shared" si="1"/>
        <v>33</v>
      </c>
      <c r="AG18" s="46">
        <f t="shared" si="1"/>
        <v>42</v>
      </c>
      <c r="AH18" s="46">
        <f t="shared" si="1"/>
        <v>3</v>
      </c>
      <c r="AI18" s="46">
        <f t="shared" si="1"/>
        <v>24</v>
      </c>
      <c r="AJ18" s="46">
        <f t="shared" si="1"/>
        <v>35</v>
      </c>
      <c r="AK18" s="46">
        <f t="shared" si="1"/>
        <v>46</v>
      </c>
      <c r="AL18" s="46">
        <f t="shared" ref="AL18" si="3">MOD(MOD($A18-AL$1*AL$2,$B$2/4)+AL$2*$B$2/4+ROUND($B$2/8,0),$B$2)+1</f>
        <v>57</v>
      </c>
    </row>
    <row r="19" spans="1:38" x14ac:dyDescent="0.35">
      <c r="A19" s="3">
        <v>16</v>
      </c>
      <c r="B19" s="22" t="s">
        <v>19</v>
      </c>
      <c r="D19">
        <f>$B$2/$C$2-$E$2/2+$B$2/8+1</f>
        <v>20</v>
      </c>
      <c r="E19">
        <f>ROUND($B$2/$C$2+$E$2/2+$B$2/8,0)</f>
        <v>29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36</v>
      </c>
      <c r="E20">
        <f>ROUND(2*$B$2/$C$2+$E$2/2+$B$2/8,0)</f>
        <v>45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52</v>
      </c>
      <c r="E21">
        <f>ROUND(3*$B$2/$C$2+$E$2/2+$B$2/8,0)</f>
        <v>61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62</v>
      </c>
      <c r="E22">
        <f>$B$2</f>
        <v>64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4</v>
      </c>
      <c r="E23">
        <f>ROUND($B$2/$C$2+$E$2/2-$B$2/8,0)</f>
        <v>13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4">SUM(F28:F40)</f>
        <v>45</v>
      </c>
      <c r="G41">
        <f t="shared" si="4"/>
        <v>79</v>
      </c>
      <c r="H41">
        <f t="shared" si="4"/>
        <v>70</v>
      </c>
      <c r="I41">
        <f t="shared" si="4"/>
        <v>59</v>
      </c>
      <c r="J41">
        <f t="shared" si="4"/>
        <v>51</v>
      </c>
      <c r="K41">
        <f t="shared" si="4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200" priority="6" operator="between">
      <formula>$D$17</formula>
      <formula>$E$17</formula>
    </cfRule>
    <cfRule type="cellIs" dxfId="199" priority="7" operator="between">
      <formula>$D$16</formula>
      <formula>$E$16</formula>
    </cfRule>
    <cfRule type="cellIs" dxfId="198" priority="8" operator="between">
      <formula>$D$15</formula>
      <formula>$E$15</formula>
    </cfRule>
    <cfRule type="cellIs" dxfId="197" priority="9" operator="between">
      <formula>$D$14</formula>
      <formula>$E$14</formula>
    </cfRule>
  </conditionalFormatting>
  <conditionalFormatting sqref="W3:AL22">
    <cfRule type="cellIs" dxfId="196" priority="1" operator="between">
      <formula>$D$23</formula>
      <formula>$E$23</formula>
    </cfRule>
    <cfRule type="cellIs" dxfId="195" priority="2" operator="between">
      <formula>$D$22</formula>
      <formula>$E$22</formula>
    </cfRule>
    <cfRule type="cellIs" dxfId="194" priority="3" operator="between">
      <formula>$D$21</formula>
      <formula>$E$21</formula>
    </cfRule>
    <cfRule type="cellIs" dxfId="193" priority="4" operator="between">
      <formula>$D$20</formula>
      <formula>$E$20</formula>
    </cfRule>
    <cfRule type="cellIs" dxfId="192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37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16</v>
      </c>
      <c r="C4" s="58">
        <v>31</v>
      </c>
      <c r="D4" s="59">
        <v>46</v>
      </c>
      <c r="E4" s="57">
        <v>1</v>
      </c>
      <c r="F4" s="58">
        <v>29</v>
      </c>
      <c r="G4" s="86">
        <v>42</v>
      </c>
      <c r="H4" s="59">
        <v>55</v>
      </c>
      <c r="I4" s="57">
        <v>1</v>
      </c>
      <c r="J4" s="58">
        <v>27</v>
      </c>
      <c r="K4" s="58">
        <v>38</v>
      </c>
      <c r="L4" s="90">
        <v>49</v>
      </c>
      <c r="M4" s="57">
        <v>1</v>
      </c>
      <c r="N4" s="86">
        <v>25</v>
      </c>
      <c r="O4" s="58">
        <v>34</v>
      </c>
      <c r="P4" s="59">
        <v>58</v>
      </c>
    </row>
    <row r="5" spans="1:16" x14ac:dyDescent="0.35">
      <c r="A5" s="82">
        <v>2</v>
      </c>
      <c r="B5" s="55">
        <v>17</v>
      </c>
      <c r="C5" s="55">
        <v>32</v>
      </c>
      <c r="D5" s="56">
        <v>47</v>
      </c>
      <c r="E5" s="75">
        <v>2</v>
      </c>
      <c r="F5" s="76">
        <v>30</v>
      </c>
      <c r="G5" s="87">
        <v>43</v>
      </c>
      <c r="H5" s="77">
        <v>56</v>
      </c>
      <c r="I5" s="49">
        <v>2</v>
      </c>
      <c r="J5" s="50">
        <v>28</v>
      </c>
      <c r="K5" s="50">
        <v>39</v>
      </c>
      <c r="L5" s="91">
        <v>50</v>
      </c>
      <c r="M5" s="75">
        <v>2</v>
      </c>
      <c r="N5" s="87">
        <v>26</v>
      </c>
      <c r="O5" s="76">
        <v>35</v>
      </c>
      <c r="P5" s="77">
        <v>59</v>
      </c>
    </row>
    <row r="6" spans="1:16" x14ac:dyDescent="0.35">
      <c r="A6" s="83">
        <v>3</v>
      </c>
      <c r="B6" s="61">
        <v>18</v>
      </c>
      <c r="C6" s="61">
        <v>33</v>
      </c>
      <c r="D6" s="62">
        <v>48</v>
      </c>
      <c r="E6" s="60">
        <v>3</v>
      </c>
      <c r="F6" s="61">
        <v>16</v>
      </c>
      <c r="G6" s="88">
        <v>44</v>
      </c>
      <c r="H6" s="62">
        <v>57</v>
      </c>
      <c r="I6" s="60">
        <v>3</v>
      </c>
      <c r="J6" s="61">
        <v>29</v>
      </c>
      <c r="K6" s="61">
        <v>40</v>
      </c>
      <c r="L6" s="92">
        <v>51</v>
      </c>
      <c r="M6" s="60">
        <v>3</v>
      </c>
      <c r="N6" s="88">
        <v>27</v>
      </c>
      <c r="O6" s="61">
        <v>36</v>
      </c>
      <c r="P6" s="62">
        <v>60</v>
      </c>
    </row>
    <row r="7" spans="1:16" x14ac:dyDescent="0.35">
      <c r="A7" s="82">
        <v>4</v>
      </c>
      <c r="B7" s="55">
        <v>19</v>
      </c>
      <c r="C7" s="55">
        <v>34</v>
      </c>
      <c r="D7" s="56">
        <v>49</v>
      </c>
      <c r="E7" s="75">
        <v>4</v>
      </c>
      <c r="F7" s="76">
        <v>17</v>
      </c>
      <c r="G7" s="87">
        <v>45</v>
      </c>
      <c r="H7" s="77">
        <v>58</v>
      </c>
      <c r="I7" s="49">
        <v>4</v>
      </c>
      <c r="J7" s="50">
        <v>30</v>
      </c>
      <c r="K7" s="50">
        <v>41</v>
      </c>
      <c r="L7" s="91">
        <v>52</v>
      </c>
      <c r="M7" s="75">
        <v>4</v>
      </c>
      <c r="N7" s="87">
        <v>28</v>
      </c>
      <c r="O7" s="76">
        <v>37</v>
      </c>
      <c r="P7" s="77">
        <v>46</v>
      </c>
    </row>
    <row r="8" spans="1:16" x14ac:dyDescent="0.35">
      <c r="A8" s="83">
        <v>5</v>
      </c>
      <c r="B8" s="61">
        <v>20</v>
      </c>
      <c r="C8" s="61">
        <v>35</v>
      </c>
      <c r="D8" s="62">
        <v>50</v>
      </c>
      <c r="E8" s="60">
        <v>5</v>
      </c>
      <c r="F8" s="61">
        <v>18</v>
      </c>
      <c r="G8" s="88">
        <v>31</v>
      </c>
      <c r="H8" s="62">
        <v>59</v>
      </c>
      <c r="I8" s="60">
        <v>5</v>
      </c>
      <c r="J8" s="61">
        <v>16</v>
      </c>
      <c r="K8" s="61">
        <v>42</v>
      </c>
      <c r="L8" s="92">
        <v>53</v>
      </c>
      <c r="M8" s="60">
        <v>5</v>
      </c>
      <c r="N8" s="88">
        <v>29</v>
      </c>
      <c r="O8" s="61">
        <v>38</v>
      </c>
      <c r="P8" s="62">
        <v>47</v>
      </c>
    </row>
    <row r="9" spans="1:16" x14ac:dyDescent="0.35">
      <c r="A9" s="82">
        <v>6</v>
      </c>
      <c r="B9" s="55">
        <v>21</v>
      </c>
      <c r="C9" s="55">
        <v>36</v>
      </c>
      <c r="D9" s="56">
        <v>51</v>
      </c>
      <c r="E9" s="75">
        <v>6</v>
      </c>
      <c r="F9" s="76">
        <v>19</v>
      </c>
      <c r="G9" s="87">
        <v>32</v>
      </c>
      <c r="H9" s="77">
        <v>60</v>
      </c>
      <c r="I9" s="49">
        <v>6</v>
      </c>
      <c r="J9" s="50">
        <v>17</v>
      </c>
      <c r="K9" s="50">
        <v>43</v>
      </c>
      <c r="L9" s="91">
        <v>54</v>
      </c>
      <c r="M9" s="75">
        <v>6</v>
      </c>
      <c r="N9" s="87">
        <v>30</v>
      </c>
      <c r="O9" s="76">
        <v>39</v>
      </c>
      <c r="P9" s="77">
        <v>48</v>
      </c>
    </row>
    <row r="10" spans="1:16" x14ac:dyDescent="0.35">
      <c r="A10" s="83">
        <v>7</v>
      </c>
      <c r="B10" s="61">
        <v>22</v>
      </c>
      <c r="C10" s="61">
        <v>37</v>
      </c>
      <c r="D10" s="62">
        <v>52</v>
      </c>
      <c r="E10" s="60">
        <v>7</v>
      </c>
      <c r="F10" s="61">
        <v>20</v>
      </c>
      <c r="G10" s="88">
        <v>33</v>
      </c>
      <c r="H10" s="62">
        <v>46</v>
      </c>
      <c r="I10" s="60">
        <v>7</v>
      </c>
      <c r="J10" s="61">
        <v>18</v>
      </c>
      <c r="K10" s="61">
        <v>44</v>
      </c>
      <c r="L10" s="92">
        <v>55</v>
      </c>
      <c r="M10" s="60">
        <v>7</v>
      </c>
      <c r="N10" s="88">
        <v>16</v>
      </c>
      <c r="O10" s="61">
        <v>40</v>
      </c>
      <c r="P10" s="62">
        <v>49</v>
      </c>
    </row>
    <row r="11" spans="1:16" x14ac:dyDescent="0.35">
      <c r="A11" s="84">
        <v>8</v>
      </c>
      <c r="B11" s="50">
        <v>23</v>
      </c>
      <c r="C11" s="50">
        <v>38</v>
      </c>
      <c r="D11" s="51">
        <v>53</v>
      </c>
      <c r="E11" s="75">
        <v>8</v>
      </c>
      <c r="F11" s="76">
        <v>21</v>
      </c>
      <c r="G11" s="87">
        <v>34</v>
      </c>
      <c r="H11" s="77">
        <v>47</v>
      </c>
      <c r="I11" s="49">
        <v>8</v>
      </c>
      <c r="J11" s="50">
        <v>19</v>
      </c>
      <c r="K11" s="50">
        <v>45</v>
      </c>
      <c r="L11" s="91">
        <v>56</v>
      </c>
      <c r="M11" s="75">
        <v>8</v>
      </c>
      <c r="N11" s="87">
        <v>17</v>
      </c>
      <c r="O11" s="76">
        <v>41</v>
      </c>
      <c r="P11" s="77">
        <v>50</v>
      </c>
    </row>
    <row r="12" spans="1:16" x14ac:dyDescent="0.35">
      <c r="A12" s="83">
        <v>9</v>
      </c>
      <c r="B12" s="61">
        <v>24</v>
      </c>
      <c r="C12" s="61">
        <v>39</v>
      </c>
      <c r="D12" s="62">
        <v>54</v>
      </c>
      <c r="E12" s="60">
        <v>9</v>
      </c>
      <c r="F12" s="61">
        <v>22</v>
      </c>
      <c r="G12" s="88">
        <v>35</v>
      </c>
      <c r="H12" s="62">
        <v>48</v>
      </c>
      <c r="I12" s="60">
        <v>9</v>
      </c>
      <c r="J12" s="61">
        <v>20</v>
      </c>
      <c r="K12" s="61">
        <v>31</v>
      </c>
      <c r="L12" s="92">
        <v>57</v>
      </c>
      <c r="M12" s="60">
        <v>9</v>
      </c>
      <c r="N12" s="88">
        <v>18</v>
      </c>
      <c r="O12" s="61">
        <v>42</v>
      </c>
      <c r="P12" s="62">
        <v>51</v>
      </c>
    </row>
    <row r="13" spans="1:16" x14ac:dyDescent="0.35">
      <c r="A13" s="84">
        <v>10</v>
      </c>
      <c r="B13" s="50">
        <v>25</v>
      </c>
      <c r="C13" s="50">
        <v>40</v>
      </c>
      <c r="D13" s="51">
        <v>55</v>
      </c>
      <c r="E13" s="75">
        <v>10</v>
      </c>
      <c r="F13" s="76">
        <v>23</v>
      </c>
      <c r="G13" s="87">
        <v>36</v>
      </c>
      <c r="H13" s="77">
        <v>49</v>
      </c>
      <c r="I13" s="49">
        <v>10</v>
      </c>
      <c r="J13" s="50">
        <v>21</v>
      </c>
      <c r="K13" s="50">
        <v>32</v>
      </c>
      <c r="L13" s="91">
        <v>58</v>
      </c>
      <c r="M13" s="75">
        <v>10</v>
      </c>
      <c r="N13" s="87">
        <v>19</v>
      </c>
      <c r="O13" s="76">
        <v>43</v>
      </c>
      <c r="P13" s="77">
        <v>52</v>
      </c>
    </row>
    <row r="14" spans="1:16" x14ac:dyDescent="0.35">
      <c r="A14" s="83">
        <v>11</v>
      </c>
      <c r="B14" s="61">
        <v>26</v>
      </c>
      <c r="C14" s="61">
        <v>41</v>
      </c>
      <c r="D14" s="62">
        <v>56</v>
      </c>
      <c r="E14" s="60">
        <v>11</v>
      </c>
      <c r="F14" s="61">
        <v>24</v>
      </c>
      <c r="G14" s="88">
        <v>37</v>
      </c>
      <c r="H14" s="62">
        <v>50</v>
      </c>
      <c r="I14" s="60">
        <v>11</v>
      </c>
      <c r="J14" s="61">
        <v>22</v>
      </c>
      <c r="K14" s="61">
        <v>33</v>
      </c>
      <c r="L14" s="92">
        <v>59</v>
      </c>
      <c r="M14" s="60">
        <v>11</v>
      </c>
      <c r="N14" s="88">
        <v>20</v>
      </c>
      <c r="O14" s="61">
        <v>44</v>
      </c>
      <c r="P14" s="62">
        <v>53</v>
      </c>
    </row>
    <row r="15" spans="1:16" x14ac:dyDescent="0.35">
      <c r="A15" s="84">
        <v>12</v>
      </c>
      <c r="B15" s="50">
        <v>27</v>
      </c>
      <c r="C15" s="50">
        <v>42</v>
      </c>
      <c r="D15" s="51">
        <v>57</v>
      </c>
      <c r="E15" s="75">
        <v>12</v>
      </c>
      <c r="F15" s="76">
        <v>25</v>
      </c>
      <c r="G15" s="87">
        <v>38</v>
      </c>
      <c r="H15" s="77">
        <v>51</v>
      </c>
      <c r="I15" s="49">
        <v>12</v>
      </c>
      <c r="J15" s="50">
        <v>23</v>
      </c>
      <c r="K15" s="50">
        <v>34</v>
      </c>
      <c r="L15" s="91">
        <v>60</v>
      </c>
      <c r="M15" s="75">
        <v>12</v>
      </c>
      <c r="N15" s="87">
        <v>21</v>
      </c>
      <c r="O15" s="76">
        <v>45</v>
      </c>
      <c r="P15" s="77">
        <v>54</v>
      </c>
    </row>
    <row r="16" spans="1:16" x14ac:dyDescent="0.35">
      <c r="A16" s="83">
        <v>13</v>
      </c>
      <c r="B16" s="61">
        <v>28</v>
      </c>
      <c r="C16" s="61">
        <v>43</v>
      </c>
      <c r="D16" s="62">
        <v>58</v>
      </c>
      <c r="E16" s="60">
        <v>13</v>
      </c>
      <c r="F16" s="61">
        <v>26</v>
      </c>
      <c r="G16" s="88">
        <v>39</v>
      </c>
      <c r="H16" s="62">
        <v>52</v>
      </c>
      <c r="I16" s="60">
        <v>13</v>
      </c>
      <c r="J16" s="61">
        <v>24</v>
      </c>
      <c r="K16" s="61">
        <v>35</v>
      </c>
      <c r="L16" s="92">
        <v>46</v>
      </c>
      <c r="M16" s="60">
        <v>13</v>
      </c>
      <c r="N16" s="88">
        <v>22</v>
      </c>
      <c r="O16" s="61">
        <v>31</v>
      </c>
      <c r="P16" s="62">
        <v>55</v>
      </c>
    </row>
    <row r="17" spans="1:16" x14ac:dyDescent="0.35">
      <c r="A17" s="84">
        <v>14</v>
      </c>
      <c r="B17" s="50">
        <v>29</v>
      </c>
      <c r="C17" s="50">
        <v>44</v>
      </c>
      <c r="D17" s="51">
        <v>59</v>
      </c>
      <c r="E17" s="75">
        <v>14</v>
      </c>
      <c r="F17" s="76">
        <v>27</v>
      </c>
      <c r="G17" s="87">
        <v>40</v>
      </c>
      <c r="H17" s="77">
        <v>53</v>
      </c>
      <c r="I17" s="49">
        <v>14</v>
      </c>
      <c r="J17" s="50">
        <v>25</v>
      </c>
      <c r="K17" s="50">
        <v>36</v>
      </c>
      <c r="L17" s="91">
        <v>47</v>
      </c>
      <c r="M17" s="75">
        <v>14</v>
      </c>
      <c r="N17" s="87">
        <v>23</v>
      </c>
      <c r="O17" s="76">
        <v>32</v>
      </c>
      <c r="P17" s="77">
        <v>56</v>
      </c>
    </row>
    <row r="18" spans="1:16" x14ac:dyDescent="0.35">
      <c r="A18" s="83">
        <v>15</v>
      </c>
      <c r="B18" s="61">
        <v>30</v>
      </c>
      <c r="C18" s="61">
        <v>45</v>
      </c>
      <c r="D18" s="62">
        <v>60</v>
      </c>
      <c r="E18" s="60">
        <v>15</v>
      </c>
      <c r="F18" s="61">
        <v>28</v>
      </c>
      <c r="G18" s="88">
        <v>41</v>
      </c>
      <c r="H18" s="62">
        <v>54</v>
      </c>
      <c r="I18" s="60">
        <v>15</v>
      </c>
      <c r="J18" s="61">
        <v>26</v>
      </c>
      <c r="K18" s="61">
        <v>37</v>
      </c>
      <c r="L18" s="92">
        <v>48</v>
      </c>
      <c r="M18" s="60">
        <v>15</v>
      </c>
      <c r="N18" s="88">
        <v>24</v>
      </c>
      <c r="O18" s="61">
        <v>33</v>
      </c>
      <c r="P18" s="62">
        <v>57</v>
      </c>
    </row>
    <row r="19" spans="1:16" ht="15" thickBot="1" x14ac:dyDescent="0.4"/>
    <row r="20" spans="1:16" x14ac:dyDescent="0.35">
      <c r="A20" s="108" t="s">
        <v>34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</row>
    <row r="21" spans="1:16" ht="5.25" customHeight="1" thickBot="1" x14ac:dyDescent="0.4">
      <c r="A21" s="111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3"/>
    </row>
    <row r="22" spans="1:16" ht="15" thickBot="1" x14ac:dyDescent="0.4">
      <c r="A22" s="102" t="s">
        <v>30</v>
      </c>
      <c r="B22" s="103"/>
      <c r="C22" s="103"/>
      <c r="D22" s="104"/>
      <c r="E22" s="105" t="s">
        <v>31</v>
      </c>
      <c r="F22" s="106"/>
      <c r="G22" s="106"/>
      <c r="H22" s="107"/>
      <c r="I22" s="102" t="s">
        <v>32</v>
      </c>
      <c r="J22" s="103"/>
      <c r="K22" s="103"/>
      <c r="L22" s="104"/>
      <c r="M22" s="105" t="s">
        <v>33</v>
      </c>
      <c r="N22" s="106"/>
      <c r="O22" s="106"/>
      <c r="P22" s="107"/>
    </row>
    <row r="23" spans="1:16" x14ac:dyDescent="0.35">
      <c r="A23" s="57">
        <v>9</v>
      </c>
      <c r="B23" s="86">
        <v>38</v>
      </c>
      <c r="C23" s="58">
        <v>52</v>
      </c>
      <c r="D23" s="59">
        <v>6</v>
      </c>
      <c r="E23" s="57">
        <v>9</v>
      </c>
      <c r="F23" s="58">
        <v>36</v>
      </c>
      <c r="G23" s="58">
        <v>48</v>
      </c>
      <c r="H23" s="90">
        <v>60</v>
      </c>
      <c r="I23" s="57">
        <v>9</v>
      </c>
      <c r="J23" s="58">
        <v>32</v>
      </c>
      <c r="K23" s="86">
        <v>40</v>
      </c>
      <c r="L23" s="59">
        <v>3</v>
      </c>
      <c r="M23" s="81">
        <v>9</v>
      </c>
      <c r="N23" s="58">
        <v>34</v>
      </c>
      <c r="O23" s="58">
        <v>44</v>
      </c>
      <c r="P23" s="59">
        <v>54</v>
      </c>
    </row>
    <row r="24" spans="1:16" x14ac:dyDescent="0.35">
      <c r="A24" s="94">
        <v>10</v>
      </c>
      <c r="B24" s="95">
        <v>24</v>
      </c>
      <c r="C24" s="55">
        <v>53</v>
      </c>
      <c r="D24" s="56">
        <v>7</v>
      </c>
      <c r="E24" s="75">
        <v>10</v>
      </c>
      <c r="F24" s="76">
        <v>37</v>
      </c>
      <c r="G24" s="76">
        <v>49</v>
      </c>
      <c r="H24" s="98">
        <v>1</v>
      </c>
      <c r="I24" s="49">
        <v>10</v>
      </c>
      <c r="J24" s="50">
        <v>33</v>
      </c>
      <c r="K24" s="96">
        <v>41</v>
      </c>
      <c r="L24" s="51">
        <v>4</v>
      </c>
      <c r="M24" s="100">
        <v>10</v>
      </c>
      <c r="N24" s="76">
        <v>35</v>
      </c>
      <c r="O24" s="76">
        <v>45</v>
      </c>
      <c r="P24" s="77">
        <v>55</v>
      </c>
    </row>
    <row r="25" spans="1:16" x14ac:dyDescent="0.35">
      <c r="A25" s="60">
        <v>11</v>
      </c>
      <c r="B25" s="88">
        <v>25</v>
      </c>
      <c r="C25" s="61">
        <v>39</v>
      </c>
      <c r="D25" s="62">
        <v>8</v>
      </c>
      <c r="E25" s="60">
        <v>11</v>
      </c>
      <c r="F25" s="61">
        <v>38</v>
      </c>
      <c r="G25" s="61">
        <v>50</v>
      </c>
      <c r="H25" s="92">
        <v>2</v>
      </c>
      <c r="I25" s="60">
        <v>11</v>
      </c>
      <c r="J25" s="61">
        <v>34</v>
      </c>
      <c r="K25" s="88">
        <v>42</v>
      </c>
      <c r="L25" s="62">
        <v>5</v>
      </c>
      <c r="M25" s="83">
        <v>11</v>
      </c>
      <c r="N25" s="61">
        <v>36</v>
      </c>
      <c r="O25" s="61">
        <v>46</v>
      </c>
      <c r="P25" s="62">
        <v>56</v>
      </c>
    </row>
    <row r="26" spans="1:16" x14ac:dyDescent="0.35">
      <c r="A26" s="94">
        <v>12</v>
      </c>
      <c r="B26" s="95">
        <v>26</v>
      </c>
      <c r="C26" s="55">
        <v>40</v>
      </c>
      <c r="D26" s="56">
        <v>54</v>
      </c>
      <c r="E26" s="75">
        <v>12</v>
      </c>
      <c r="F26" s="76">
        <v>24</v>
      </c>
      <c r="G26" s="76">
        <v>51</v>
      </c>
      <c r="H26" s="98">
        <v>3</v>
      </c>
      <c r="I26" s="49">
        <v>12</v>
      </c>
      <c r="J26" s="50">
        <v>35</v>
      </c>
      <c r="K26" s="96">
        <v>43</v>
      </c>
      <c r="L26" s="51">
        <v>6</v>
      </c>
      <c r="M26" s="100">
        <v>12</v>
      </c>
      <c r="N26" s="76">
        <v>37</v>
      </c>
      <c r="O26" s="76">
        <v>47</v>
      </c>
      <c r="P26" s="77">
        <v>57</v>
      </c>
    </row>
    <row r="27" spans="1:16" x14ac:dyDescent="0.35">
      <c r="A27" s="60">
        <v>13</v>
      </c>
      <c r="B27" s="88">
        <v>27</v>
      </c>
      <c r="C27" s="61">
        <v>41</v>
      </c>
      <c r="D27" s="62">
        <v>55</v>
      </c>
      <c r="E27" s="60">
        <v>13</v>
      </c>
      <c r="F27" s="61">
        <v>25</v>
      </c>
      <c r="G27" s="61">
        <v>52</v>
      </c>
      <c r="H27" s="92">
        <v>4</v>
      </c>
      <c r="I27" s="60">
        <v>13</v>
      </c>
      <c r="J27" s="61">
        <v>36</v>
      </c>
      <c r="K27" s="88">
        <v>44</v>
      </c>
      <c r="L27" s="62">
        <v>7</v>
      </c>
      <c r="M27" s="83">
        <v>13</v>
      </c>
      <c r="N27" s="61">
        <v>38</v>
      </c>
      <c r="O27" s="61">
        <v>48</v>
      </c>
      <c r="P27" s="62">
        <v>58</v>
      </c>
    </row>
    <row r="28" spans="1:16" x14ac:dyDescent="0.35">
      <c r="A28" s="94">
        <v>14</v>
      </c>
      <c r="B28" s="95">
        <v>28</v>
      </c>
      <c r="C28" s="55">
        <v>42</v>
      </c>
      <c r="D28" s="56">
        <v>56</v>
      </c>
      <c r="E28" s="75">
        <v>14</v>
      </c>
      <c r="F28" s="76">
        <v>26</v>
      </c>
      <c r="G28" s="76">
        <v>53</v>
      </c>
      <c r="H28" s="98">
        <v>5</v>
      </c>
      <c r="I28" s="49">
        <v>14</v>
      </c>
      <c r="J28" s="50">
        <v>37</v>
      </c>
      <c r="K28" s="96">
        <v>45</v>
      </c>
      <c r="L28" s="51">
        <v>8</v>
      </c>
      <c r="M28" s="100">
        <v>14</v>
      </c>
      <c r="N28" s="76">
        <v>24</v>
      </c>
      <c r="O28" s="76">
        <v>49</v>
      </c>
      <c r="P28" s="77">
        <v>59</v>
      </c>
    </row>
    <row r="29" spans="1:16" x14ac:dyDescent="0.35">
      <c r="A29" s="60">
        <v>15</v>
      </c>
      <c r="B29" s="88">
        <v>29</v>
      </c>
      <c r="C29" s="61">
        <v>43</v>
      </c>
      <c r="D29" s="62">
        <v>57</v>
      </c>
      <c r="E29" s="60">
        <v>15</v>
      </c>
      <c r="F29" s="61">
        <v>27</v>
      </c>
      <c r="G29" s="61">
        <v>39</v>
      </c>
      <c r="H29" s="92">
        <v>6</v>
      </c>
      <c r="I29" s="60">
        <v>15</v>
      </c>
      <c r="J29" s="61">
        <v>38</v>
      </c>
      <c r="K29" s="88">
        <v>46</v>
      </c>
      <c r="L29" s="62">
        <v>54</v>
      </c>
      <c r="M29" s="83">
        <v>15</v>
      </c>
      <c r="N29" s="61">
        <v>25</v>
      </c>
      <c r="O29" s="61">
        <v>50</v>
      </c>
      <c r="P29" s="62">
        <v>60</v>
      </c>
    </row>
    <row r="30" spans="1:16" x14ac:dyDescent="0.35">
      <c r="A30" s="49">
        <v>16</v>
      </c>
      <c r="B30" s="96">
        <v>30</v>
      </c>
      <c r="C30" s="50">
        <v>44</v>
      </c>
      <c r="D30" s="51">
        <v>58</v>
      </c>
      <c r="E30" s="75">
        <v>16</v>
      </c>
      <c r="F30" s="76">
        <v>28</v>
      </c>
      <c r="G30" s="76">
        <v>40</v>
      </c>
      <c r="H30" s="98">
        <v>7</v>
      </c>
      <c r="I30" s="49">
        <v>16</v>
      </c>
      <c r="J30" s="50">
        <v>24</v>
      </c>
      <c r="K30" s="96">
        <v>47</v>
      </c>
      <c r="L30" s="51">
        <v>55</v>
      </c>
      <c r="M30" s="100">
        <v>16</v>
      </c>
      <c r="N30" s="76">
        <v>26</v>
      </c>
      <c r="O30" s="76">
        <v>51</v>
      </c>
      <c r="P30" s="77">
        <v>1</v>
      </c>
    </row>
    <row r="31" spans="1:16" x14ac:dyDescent="0.35">
      <c r="A31" s="60">
        <v>17</v>
      </c>
      <c r="B31" s="88">
        <v>31</v>
      </c>
      <c r="C31" s="61">
        <v>45</v>
      </c>
      <c r="D31" s="62">
        <v>59</v>
      </c>
      <c r="E31" s="60">
        <v>17</v>
      </c>
      <c r="F31" s="61">
        <v>29</v>
      </c>
      <c r="G31" s="61">
        <v>41</v>
      </c>
      <c r="H31" s="92">
        <v>8</v>
      </c>
      <c r="I31" s="60">
        <v>17</v>
      </c>
      <c r="J31" s="61">
        <v>25</v>
      </c>
      <c r="K31" s="88">
        <v>48</v>
      </c>
      <c r="L31" s="62">
        <v>56</v>
      </c>
      <c r="M31" s="83">
        <v>17</v>
      </c>
      <c r="N31" s="61">
        <v>27</v>
      </c>
      <c r="O31" s="61">
        <v>52</v>
      </c>
      <c r="P31" s="62">
        <v>2</v>
      </c>
    </row>
    <row r="32" spans="1:16" x14ac:dyDescent="0.35">
      <c r="A32" s="49">
        <v>18</v>
      </c>
      <c r="B32" s="96">
        <v>32</v>
      </c>
      <c r="C32" s="50">
        <v>46</v>
      </c>
      <c r="D32" s="51">
        <v>60</v>
      </c>
      <c r="E32" s="75">
        <v>18</v>
      </c>
      <c r="F32" s="76">
        <v>30</v>
      </c>
      <c r="G32" s="76">
        <v>42</v>
      </c>
      <c r="H32" s="98">
        <v>54</v>
      </c>
      <c r="I32" s="49">
        <v>18</v>
      </c>
      <c r="J32" s="50">
        <v>26</v>
      </c>
      <c r="K32" s="96">
        <v>49</v>
      </c>
      <c r="L32" s="51">
        <v>57</v>
      </c>
      <c r="M32" s="100">
        <v>18</v>
      </c>
      <c r="N32" s="76">
        <v>28</v>
      </c>
      <c r="O32" s="76">
        <v>53</v>
      </c>
      <c r="P32" s="77">
        <v>3</v>
      </c>
    </row>
    <row r="33" spans="1:16" x14ac:dyDescent="0.35">
      <c r="A33" s="60">
        <v>19</v>
      </c>
      <c r="B33" s="88">
        <v>33</v>
      </c>
      <c r="C33" s="61">
        <v>47</v>
      </c>
      <c r="D33" s="62">
        <v>1</v>
      </c>
      <c r="E33" s="60">
        <v>19</v>
      </c>
      <c r="F33" s="61">
        <v>31</v>
      </c>
      <c r="G33" s="61">
        <v>43</v>
      </c>
      <c r="H33" s="92">
        <v>55</v>
      </c>
      <c r="I33" s="60">
        <v>19</v>
      </c>
      <c r="J33" s="61">
        <v>27</v>
      </c>
      <c r="K33" s="88">
        <v>50</v>
      </c>
      <c r="L33" s="62">
        <v>58</v>
      </c>
      <c r="M33" s="83">
        <v>19</v>
      </c>
      <c r="N33" s="61">
        <v>29</v>
      </c>
      <c r="O33" s="61">
        <v>39</v>
      </c>
      <c r="P33" s="62">
        <v>4</v>
      </c>
    </row>
    <row r="34" spans="1:16" x14ac:dyDescent="0.35">
      <c r="A34" s="49">
        <v>20</v>
      </c>
      <c r="B34" s="96">
        <v>34</v>
      </c>
      <c r="C34" s="50">
        <v>48</v>
      </c>
      <c r="D34" s="51">
        <v>2</v>
      </c>
      <c r="E34" s="75">
        <v>20</v>
      </c>
      <c r="F34" s="76">
        <v>32</v>
      </c>
      <c r="G34" s="76">
        <v>44</v>
      </c>
      <c r="H34" s="98">
        <v>56</v>
      </c>
      <c r="I34" s="49">
        <v>20</v>
      </c>
      <c r="J34" s="50">
        <v>28</v>
      </c>
      <c r="K34" s="96">
        <v>51</v>
      </c>
      <c r="L34" s="51">
        <v>59</v>
      </c>
      <c r="M34" s="100">
        <v>20</v>
      </c>
      <c r="N34" s="76">
        <v>30</v>
      </c>
      <c r="O34" s="76">
        <v>40</v>
      </c>
      <c r="P34" s="77">
        <v>5</v>
      </c>
    </row>
    <row r="35" spans="1:16" x14ac:dyDescent="0.35">
      <c r="A35" s="60">
        <v>21</v>
      </c>
      <c r="B35" s="88">
        <v>35</v>
      </c>
      <c r="C35" s="61">
        <v>49</v>
      </c>
      <c r="D35" s="62">
        <v>3</v>
      </c>
      <c r="E35" s="60">
        <v>21</v>
      </c>
      <c r="F35" s="61">
        <v>33</v>
      </c>
      <c r="G35" s="61">
        <v>45</v>
      </c>
      <c r="H35" s="92">
        <v>57</v>
      </c>
      <c r="I35" s="60">
        <v>21</v>
      </c>
      <c r="J35" s="61">
        <v>29</v>
      </c>
      <c r="K35" s="88">
        <v>52</v>
      </c>
      <c r="L35" s="62">
        <v>60</v>
      </c>
      <c r="M35" s="83">
        <v>21</v>
      </c>
      <c r="N35" s="61">
        <v>31</v>
      </c>
      <c r="O35" s="61">
        <v>41</v>
      </c>
      <c r="P35" s="62">
        <v>6</v>
      </c>
    </row>
    <row r="36" spans="1:16" x14ac:dyDescent="0.35">
      <c r="A36" s="49">
        <v>22</v>
      </c>
      <c r="B36" s="96">
        <v>36</v>
      </c>
      <c r="C36" s="50">
        <v>50</v>
      </c>
      <c r="D36" s="51">
        <v>4</v>
      </c>
      <c r="E36" s="75">
        <v>22</v>
      </c>
      <c r="F36" s="76">
        <v>34</v>
      </c>
      <c r="G36" s="76">
        <v>46</v>
      </c>
      <c r="H36" s="98">
        <v>58</v>
      </c>
      <c r="I36" s="49">
        <v>22</v>
      </c>
      <c r="J36" s="50">
        <v>30</v>
      </c>
      <c r="K36" s="96">
        <v>53</v>
      </c>
      <c r="L36" s="51">
        <v>1</v>
      </c>
      <c r="M36" s="100">
        <v>22</v>
      </c>
      <c r="N36" s="76">
        <v>32</v>
      </c>
      <c r="O36" s="76">
        <v>42</v>
      </c>
      <c r="P36" s="77">
        <v>7</v>
      </c>
    </row>
    <row r="37" spans="1:16" x14ac:dyDescent="0.35">
      <c r="A37" s="60">
        <v>23</v>
      </c>
      <c r="B37" s="88">
        <v>37</v>
      </c>
      <c r="C37" s="61">
        <v>51</v>
      </c>
      <c r="D37" s="62">
        <v>5</v>
      </c>
      <c r="E37" s="60">
        <v>23</v>
      </c>
      <c r="F37" s="61">
        <v>35</v>
      </c>
      <c r="G37" s="61">
        <v>47</v>
      </c>
      <c r="H37" s="92">
        <v>59</v>
      </c>
      <c r="I37" s="60">
        <v>23</v>
      </c>
      <c r="J37" s="61">
        <v>31</v>
      </c>
      <c r="K37" s="88">
        <v>39</v>
      </c>
      <c r="L37" s="62">
        <v>2</v>
      </c>
      <c r="M37" s="83">
        <v>23</v>
      </c>
      <c r="N37" s="61">
        <v>33</v>
      </c>
      <c r="O37" s="61">
        <v>43</v>
      </c>
      <c r="P37" s="62">
        <v>8</v>
      </c>
    </row>
  </sheetData>
  <mergeCells count="10">
    <mergeCell ref="A22:D22"/>
    <mergeCell ref="E22:H22"/>
    <mergeCell ref="I22:L22"/>
    <mergeCell ref="M22:P22"/>
    <mergeCell ref="A1:P2"/>
    <mergeCell ref="A3:D3"/>
    <mergeCell ref="E3:H3"/>
    <mergeCell ref="I3:L3"/>
    <mergeCell ref="M3:P3"/>
    <mergeCell ref="A20:P21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82"/>
  <sheetViews>
    <sheetView topLeftCell="O1" workbookViewId="0">
      <selection activeCell="W3" sqref="W3:AL17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3</v>
      </c>
      <c r="D1">
        <f>FLOOR(3*$B$2/32,1)</f>
        <v>5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7</v>
      </c>
      <c r="AF1" s="9">
        <v>7</v>
      </c>
      <c r="AG1" s="9">
        <v>7</v>
      </c>
      <c r="AH1" s="10">
        <v>7</v>
      </c>
      <c r="AI1">
        <v>5</v>
      </c>
      <c r="AJ1">
        <v>5</v>
      </c>
      <c r="AK1">
        <v>5</v>
      </c>
      <c r="AL1">
        <v>5</v>
      </c>
    </row>
    <row r="2" spans="1:38" ht="15" thickBot="1" x14ac:dyDescent="0.4">
      <c r="A2">
        <f>CEILING(COUNTA(B3:B83)/4,1)*4</f>
        <v>80</v>
      </c>
      <c r="B2">
        <v>60</v>
      </c>
      <c r="C2">
        <v>4</v>
      </c>
      <c r="D2">
        <v>8</v>
      </c>
      <c r="E2">
        <v>10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7" si="0">MOD($A3-G$1*G$2,$B$2/4)+G$2*$B$2/4+1</f>
        <v>1</v>
      </c>
      <c r="H3" s="64">
        <f t="shared" si="0"/>
        <v>16</v>
      </c>
      <c r="I3" s="64">
        <f t="shared" si="0"/>
        <v>31</v>
      </c>
      <c r="J3" s="65">
        <f t="shared" si="0"/>
        <v>46</v>
      </c>
      <c r="K3" s="63">
        <f t="shared" si="0"/>
        <v>1</v>
      </c>
      <c r="L3" s="64">
        <f t="shared" si="0"/>
        <v>29</v>
      </c>
      <c r="M3" s="64">
        <f t="shared" si="0"/>
        <v>42</v>
      </c>
      <c r="N3" s="65">
        <f t="shared" si="0"/>
        <v>55</v>
      </c>
      <c r="O3" s="63">
        <f t="shared" si="0"/>
        <v>1</v>
      </c>
      <c r="P3" s="64">
        <f t="shared" si="0"/>
        <v>27</v>
      </c>
      <c r="Q3" s="64">
        <f t="shared" si="0"/>
        <v>38</v>
      </c>
      <c r="R3" s="65">
        <f t="shared" si="0"/>
        <v>49</v>
      </c>
      <c r="S3" s="63">
        <f t="shared" si="0"/>
        <v>1</v>
      </c>
      <c r="T3" s="64">
        <f t="shared" si="0"/>
        <v>25</v>
      </c>
      <c r="U3" s="64">
        <f t="shared" si="0"/>
        <v>34</v>
      </c>
      <c r="V3" s="65">
        <f t="shared" si="0"/>
        <v>58</v>
      </c>
      <c r="W3" s="46">
        <f t="shared" ref="W3:AL17" si="1">MOD(MOD($A3-W$1*W$2,$B$2/4)+W$2*$B$2/4+ROUND($B$2/8,0),$B$2)+1</f>
        <v>9</v>
      </c>
      <c r="X3" s="46">
        <f t="shared" si="1"/>
        <v>38</v>
      </c>
      <c r="Y3" s="46">
        <f t="shared" si="1"/>
        <v>52</v>
      </c>
      <c r="Z3" s="46">
        <f t="shared" si="1"/>
        <v>6</v>
      </c>
      <c r="AA3" s="46">
        <f t="shared" si="1"/>
        <v>9</v>
      </c>
      <c r="AB3" s="46">
        <f t="shared" si="1"/>
        <v>36</v>
      </c>
      <c r="AC3" s="46">
        <f t="shared" si="1"/>
        <v>48</v>
      </c>
      <c r="AD3" s="46">
        <f t="shared" si="1"/>
        <v>60</v>
      </c>
      <c r="AE3" s="46">
        <f t="shared" si="1"/>
        <v>9</v>
      </c>
      <c r="AF3" s="46">
        <f t="shared" si="1"/>
        <v>32</v>
      </c>
      <c r="AG3" s="46">
        <f t="shared" si="1"/>
        <v>40</v>
      </c>
      <c r="AH3" s="46">
        <f t="shared" si="1"/>
        <v>3</v>
      </c>
      <c r="AI3" s="46">
        <f t="shared" si="1"/>
        <v>9</v>
      </c>
      <c r="AJ3" s="46">
        <f t="shared" si="1"/>
        <v>34</v>
      </c>
      <c r="AK3" s="46">
        <f t="shared" si="1"/>
        <v>44</v>
      </c>
      <c r="AL3" s="46">
        <f t="shared" si="1"/>
        <v>54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17</v>
      </c>
      <c r="I4" s="40">
        <f t="shared" si="0"/>
        <v>32</v>
      </c>
      <c r="J4" s="66">
        <f t="shared" si="0"/>
        <v>47</v>
      </c>
      <c r="K4" s="43">
        <f t="shared" si="0"/>
        <v>2</v>
      </c>
      <c r="L4" s="40">
        <f t="shared" si="0"/>
        <v>30</v>
      </c>
      <c r="M4" s="40">
        <f t="shared" si="0"/>
        <v>43</v>
      </c>
      <c r="N4" s="66">
        <f t="shared" si="0"/>
        <v>56</v>
      </c>
      <c r="O4" s="43">
        <f t="shared" si="0"/>
        <v>2</v>
      </c>
      <c r="P4" s="40">
        <f t="shared" si="0"/>
        <v>28</v>
      </c>
      <c r="Q4" s="40">
        <f t="shared" si="0"/>
        <v>39</v>
      </c>
      <c r="R4" s="66">
        <f t="shared" si="0"/>
        <v>50</v>
      </c>
      <c r="S4" s="43">
        <f t="shared" si="0"/>
        <v>2</v>
      </c>
      <c r="T4" s="40">
        <f t="shared" si="0"/>
        <v>26</v>
      </c>
      <c r="U4" s="40">
        <f t="shared" si="0"/>
        <v>35</v>
      </c>
      <c r="V4" s="66">
        <f t="shared" si="0"/>
        <v>59</v>
      </c>
      <c r="W4" s="46">
        <f t="shared" si="1"/>
        <v>10</v>
      </c>
      <c r="X4" s="46">
        <f t="shared" si="1"/>
        <v>24</v>
      </c>
      <c r="Y4" s="46">
        <f t="shared" si="1"/>
        <v>53</v>
      </c>
      <c r="Z4" s="46">
        <f t="shared" si="1"/>
        <v>7</v>
      </c>
      <c r="AA4" s="46">
        <f t="shared" si="1"/>
        <v>10</v>
      </c>
      <c r="AB4" s="46">
        <f t="shared" si="1"/>
        <v>37</v>
      </c>
      <c r="AC4" s="46">
        <f t="shared" si="1"/>
        <v>49</v>
      </c>
      <c r="AD4" s="46">
        <f t="shared" si="1"/>
        <v>1</v>
      </c>
      <c r="AE4" s="46">
        <f t="shared" si="1"/>
        <v>10</v>
      </c>
      <c r="AF4" s="46">
        <f t="shared" si="1"/>
        <v>33</v>
      </c>
      <c r="AG4" s="46">
        <f t="shared" si="1"/>
        <v>41</v>
      </c>
      <c r="AH4" s="46">
        <f t="shared" si="1"/>
        <v>4</v>
      </c>
      <c r="AI4" s="46">
        <f t="shared" si="1"/>
        <v>10</v>
      </c>
      <c r="AJ4" s="46">
        <f t="shared" si="1"/>
        <v>35</v>
      </c>
      <c r="AK4" s="46">
        <f t="shared" si="1"/>
        <v>45</v>
      </c>
      <c r="AL4" s="46">
        <f t="shared" si="1"/>
        <v>55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18</v>
      </c>
      <c r="I5" s="40">
        <f t="shared" si="0"/>
        <v>33</v>
      </c>
      <c r="J5" s="66">
        <f t="shared" si="0"/>
        <v>48</v>
      </c>
      <c r="K5" s="43">
        <f t="shared" si="0"/>
        <v>3</v>
      </c>
      <c r="L5" s="40">
        <f t="shared" si="0"/>
        <v>16</v>
      </c>
      <c r="M5" s="40">
        <f t="shared" si="0"/>
        <v>44</v>
      </c>
      <c r="N5" s="66">
        <f t="shared" si="0"/>
        <v>57</v>
      </c>
      <c r="O5" s="43">
        <f t="shared" si="0"/>
        <v>3</v>
      </c>
      <c r="P5" s="40">
        <f t="shared" si="0"/>
        <v>29</v>
      </c>
      <c r="Q5" s="40">
        <f t="shared" si="0"/>
        <v>40</v>
      </c>
      <c r="R5" s="66">
        <f t="shared" si="0"/>
        <v>51</v>
      </c>
      <c r="S5" s="43">
        <f t="shared" si="0"/>
        <v>3</v>
      </c>
      <c r="T5" s="40">
        <f t="shared" si="0"/>
        <v>27</v>
      </c>
      <c r="U5" s="40">
        <f t="shared" si="0"/>
        <v>36</v>
      </c>
      <c r="V5" s="66">
        <f t="shared" si="0"/>
        <v>60</v>
      </c>
      <c r="W5" s="46">
        <f t="shared" si="1"/>
        <v>11</v>
      </c>
      <c r="X5" s="46">
        <f t="shared" si="1"/>
        <v>25</v>
      </c>
      <c r="Y5" s="46">
        <f t="shared" si="1"/>
        <v>39</v>
      </c>
      <c r="Z5" s="46">
        <f t="shared" si="1"/>
        <v>8</v>
      </c>
      <c r="AA5" s="46">
        <f t="shared" si="1"/>
        <v>11</v>
      </c>
      <c r="AB5" s="46">
        <f t="shared" si="1"/>
        <v>38</v>
      </c>
      <c r="AC5" s="46">
        <f t="shared" si="1"/>
        <v>50</v>
      </c>
      <c r="AD5" s="46">
        <f t="shared" si="1"/>
        <v>2</v>
      </c>
      <c r="AE5" s="46">
        <f t="shared" si="1"/>
        <v>11</v>
      </c>
      <c r="AF5" s="46">
        <f t="shared" si="1"/>
        <v>34</v>
      </c>
      <c r="AG5" s="46">
        <f t="shared" si="1"/>
        <v>42</v>
      </c>
      <c r="AH5" s="46">
        <f t="shared" si="1"/>
        <v>5</v>
      </c>
      <c r="AI5" s="46">
        <f t="shared" si="1"/>
        <v>11</v>
      </c>
      <c r="AJ5" s="46">
        <f t="shared" si="1"/>
        <v>36</v>
      </c>
      <c r="AK5" s="46">
        <f t="shared" si="1"/>
        <v>46</v>
      </c>
      <c r="AL5" s="46">
        <f t="shared" si="1"/>
        <v>56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19</v>
      </c>
      <c r="I6" s="40">
        <f t="shared" si="0"/>
        <v>34</v>
      </c>
      <c r="J6" s="66">
        <f t="shared" si="0"/>
        <v>49</v>
      </c>
      <c r="K6" s="43">
        <f t="shared" si="0"/>
        <v>4</v>
      </c>
      <c r="L6" s="40">
        <f t="shared" si="0"/>
        <v>17</v>
      </c>
      <c r="M6" s="40">
        <f t="shared" si="0"/>
        <v>45</v>
      </c>
      <c r="N6" s="66">
        <f t="shared" si="0"/>
        <v>58</v>
      </c>
      <c r="O6" s="43">
        <f t="shared" si="0"/>
        <v>4</v>
      </c>
      <c r="P6" s="40">
        <f t="shared" si="0"/>
        <v>30</v>
      </c>
      <c r="Q6" s="40">
        <f t="shared" si="0"/>
        <v>41</v>
      </c>
      <c r="R6" s="66">
        <f t="shared" si="0"/>
        <v>52</v>
      </c>
      <c r="S6" s="43">
        <f t="shared" si="0"/>
        <v>4</v>
      </c>
      <c r="T6" s="40">
        <f t="shared" si="0"/>
        <v>28</v>
      </c>
      <c r="U6" s="40">
        <f t="shared" si="0"/>
        <v>37</v>
      </c>
      <c r="V6" s="66">
        <f t="shared" si="0"/>
        <v>46</v>
      </c>
      <c r="W6" s="46">
        <f t="shared" si="1"/>
        <v>12</v>
      </c>
      <c r="X6" s="46">
        <f t="shared" si="1"/>
        <v>26</v>
      </c>
      <c r="Y6" s="46">
        <f t="shared" si="1"/>
        <v>40</v>
      </c>
      <c r="Z6" s="46">
        <f t="shared" si="1"/>
        <v>54</v>
      </c>
      <c r="AA6" s="46">
        <f t="shared" si="1"/>
        <v>12</v>
      </c>
      <c r="AB6" s="46">
        <f t="shared" si="1"/>
        <v>24</v>
      </c>
      <c r="AC6" s="46">
        <f t="shared" si="1"/>
        <v>51</v>
      </c>
      <c r="AD6" s="46">
        <f t="shared" si="1"/>
        <v>3</v>
      </c>
      <c r="AE6" s="46">
        <f t="shared" si="1"/>
        <v>12</v>
      </c>
      <c r="AF6" s="46">
        <f t="shared" si="1"/>
        <v>35</v>
      </c>
      <c r="AG6" s="46">
        <f t="shared" si="1"/>
        <v>43</v>
      </c>
      <c r="AH6" s="46">
        <f t="shared" si="1"/>
        <v>6</v>
      </c>
      <c r="AI6" s="46">
        <f t="shared" si="1"/>
        <v>12</v>
      </c>
      <c r="AJ6" s="46">
        <f t="shared" si="1"/>
        <v>37</v>
      </c>
      <c r="AK6" s="46">
        <f t="shared" si="1"/>
        <v>47</v>
      </c>
      <c r="AL6" s="46">
        <f t="shared" si="1"/>
        <v>57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20</v>
      </c>
      <c r="I7" s="40">
        <f t="shared" si="0"/>
        <v>35</v>
      </c>
      <c r="J7" s="66">
        <f t="shared" si="0"/>
        <v>50</v>
      </c>
      <c r="K7" s="43">
        <f t="shared" si="0"/>
        <v>5</v>
      </c>
      <c r="L7" s="40">
        <f t="shared" si="0"/>
        <v>18</v>
      </c>
      <c r="M7" s="40">
        <f t="shared" si="0"/>
        <v>31</v>
      </c>
      <c r="N7" s="66">
        <f t="shared" si="0"/>
        <v>59</v>
      </c>
      <c r="O7" s="43">
        <f t="shared" si="0"/>
        <v>5</v>
      </c>
      <c r="P7" s="40">
        <f t="shared" si="0"/>
        <v>16</v>
      </c>
      <c r="Q7" s="40">
        <f t="shared" si="0"/>
        <v>42</v>
      </c>
      <c r="R7" s="66">
        <f t="shared" si="0"/>
        <v>53</v>
      </c>
      <c r="S7" s="43">
        <f t="shared" si="0"/>
        <v>5</v>
      </c>
      <c r="T7" s="40">
        <f t="shared" si="0"/>
        <v>29</v>
      </c>
      <c r="U7" s="40">
        <f t="shared" si="0"/>
        <v>38</v>
      </c>
      <c r="V7" s="66">
        <f t="shared" si="0"/>
        <v>47</v>
      </c>
      <c r="W7" s="46">
        <f t="shared" si="1"/>
        <v>13</v>
      </c>
      <c r="X7" s="46">
        <f t="shared" si="1"/>
        <v>27</v>
      </c>
      <c r="Y7" s="46">
        <f t="shared" si="1"/>
        <v>41</v>
      </c>
      <c r="Z7" s="46">
        <f t="shared" si="1"/>
        <v>55</v>
      </c>
      <c r="AA7" s="46">
        <f t="shared" si="1"/>
        <v>13</v>
      </c>
      <c r="AB7" s="46">
        <f t="shared" si="1"/>
        <v>25</v>
      </c>
      <c r="AC7" s="46">
        <f t="shared" si="1"/>
        <v>52</v>
      </c>
      <c r="AD7" s="46">
        <f t="shared" si="1"/>
        <v>4</v>
      </c>
      <c r="AE7" s="46">
        <f t="shared" si="1"/>
        <v>13</v>
      </c>
      <c r="AF7" s="46">
        <f t="shared" si="1"/>
        <v>36</v>
      </c>
      <c r="AG7" s="46">
        <f t="shared" si="1"/>
        <v>44</v>
      </c>
      <c r="AH7" s="46">
        <f t="shared" si="1"/>
        <v>7</v>
      </c>
      <c r="AI7" s="46">
        <f t="shared" si="1"/>
        <v>13</v>
      </c>
      <c r="AJ7" s="46">
        <f t="shared" si="1"/>
        <v>38</v>
      </c>
      <c r="AK7" s="46">
        <f t="shared" si="1"/>
        <v>48</v>
      </c>
      <c r="AL7" s="46">
        <f t="shared" si="1"/>
        <v>58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21</v>
      </c>
      <c r="I8" s="40">
        <f t="shared" si="0"/>
        <v>36</v>
      </c>
      <c r="J8" s="66">
        <f t="shared" si="0"/>
        <v>51</v>
      </c>
      <c r="K8" s="43">
        <f t="shared" si="0"/>
        <v>6</v>
      </c>
      <c r="L8" s="40">
        <f t="shared" si="0"/>
        <v>19</v>
      </c>
      <c r="M8" s="40">
        <f t="shared" si="0"/>
        <v>32</v>
      </c>
      <c r="N8" s="66">
        <f t="shared" si="0"/>
        <v>60</v>
      </c>
      <c r="O8" s="43">
        <f t="shared" si="0"/>
        <v>6</v>
      </c>
      <c r="P8" s="40">
        <f t="shared" si="0"/>
        <v>17</v>
      </c>
      <c r="Q8" s="40">
        <f t="shared" si="0"/>
        <v>43</v>
      </c>
      <c r="R8" s="66">
        <f t="shared" si="0"/>
        <v>54</v>
      </c>
      <c r="S8" s="43">
        <f t="shared" si="0"/>
        <v>6</v>
      </c>
      <c r="T8" s="40">
        <f t="shared" si="0"/>
        <v>30</v>
      </c>
      <c r="U8" s="40">
        <f t="shared" si="0"/>
        <v>39</v>
      </c>
      <c r="V8" s="66">
        <f t="shared" si="0"/>
        <v>48</v>
      </c>
      <c r="W8" s="46">
        <f t="shared" si="1"/>
        <v>14</v>
      </c>
      <c r="X8" s="46">
        <f t="shared" si="1"/>
        <v>28</v>
      </c>
      <c r="Y8" s="46">
        <f t="shared" si="1"/>
        <v>42</v>
      </c>
      <c r="Z8" s="46">
        <f t="shared" si="1"/>
        <v>56</v>
      </c>
      <c r="AA8" s="46">
        <f t="shared" si="1"/>
        <v>14</v>
      </c>
      <c r="AB8" s="46">
        <f t="shared" si="1"/>
        <v>26</v>
      </c>
      <c r="AC8" s="46">
        <f t="shared" si="1"/>
        <v>53</v>
      </c>
      <c r="AD8" s="46">
        <f t="shared" si="1"/>
        <v>5</v>
      </c>
      <c r="AE8" s="46">
        <f t="shared" si="1"/>
        <v>14</v>
      </c>
      <c r="AF8" s="46">
        <f t="shared" si="1"/>
        <v>37</v>
      </c>
      <c r="AG8" s="46">
        <f t="shared" si="1"/>
        <v>45</v>
      </c>
      <c r="AH8" s="46">
        <f t="shared" si="1"/>
        <v>8</v>
      </c>
      <c r="AI8" s="46">
        <f t="shared" si="1"/>
        <v>14</v>
      </c>
      <c r="AJ8" s="46">
        <f t="shared" si="1"/>
        <v>24</v>
      </c>
      <c r="AK8" s="46">
        <f t="shared" si="1"/>
        <v>49</v>
      </c>
      <c r="AL8" s="46">
        <f t="shared" si="1"/>
        <v>59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22</v>
      </c>
      <c r="I9" s="40">
        <f t="shared" si="0"/>
        <v>37</v>
      </c>
      <c r="J9" s="66">
        <f t="shared" si="0"/>
        <v>52</v>
      </c>
      <c r="K9" s="43">
        <f t="shared" si="0"/>
        <v>7</v>
      </c>
      <c r="L9" s="40">
        <f t="shared" si="0"/>
        <v>20</v>
      </c>
      <c r="M9" s="40">
        <f t="shared" si="0"/>
        <v>33</v>
      </c>
      <c r="N9" s="66">
        <f t="shared" si="0"/>
        <v>46</v>
      </c>
      <c r="O9" s="43">
        <f t="shared" si="0"/>
        <v>7</v>
      </c>
      <c r="P9" s="40">
        <f t="shared" si="0"/>
        <v>18</v>
      </c>
      <c r="Q9" s="40">
        <f t="shared" si="0"/>
        <v>44</v>
      </c>
      <c r="R9" s="66">
        <f t="shared" si="0"/>
        <v>55</v>
      </c>
      <c r="S9" s="43">
        <f t="shared" si="0"/>
        <v>7</v>
      </c>
      <c r="T9" s="40">
        <f t="shared" si="0"/>
        <v>16</v>
      </c>
      <c r="U9" s="40">
        <f t="shared" si="0"/>
        <v>40</v>
      </c>
      <c r="V9" s="66">
        <f t="shared" si="0"/>
        <v>49</v>
      </c>
      <c r="W9" s="46">
        <f t="shared" si="1"/>
        <v>15</v>
      </c>
      <c r="X9" s="46">
        <f t="shared" si="1"/>
        <v>29</v>
      </c>
      <c r="Y9" s="46">
        <f t="shared" si="1"/>
        <v>43</v>
      </c>
      <c r="Z9" s="46">
        <f t="shared" si="1"/>
        <v>57</v>
      </c>
      <c r="AA9" s="46">
        <f t="shared" si="1"/>
        <v>15</v>
      </c>
      <c r="AB9" s="46">
        <f t="shared" si="1"/>
        <v>27</v>
      </c>
      <c r="AC9" s="46">
        <f t="shared" si="1"/>
        <v>39</v>
      </c>
      <c r="AD9" s="46">
        <f t="shared" si="1"/>
        <v>6</v>
      </c>
      <c r="AE9" s="46">
        <f t="shared" si="1"/>
        <v>15</v>
      </c>
      <c r="AF9" s="46">
        <f t="shared" si="1"/>
        <v>38</v>
      </c>
      <c r="AG9" s="46">
        <f t="shared" si="1"/>
        <v>46</v>
      </c>
      <c r="AH9" s="46">
        <f t="shared" si="1"/>
        <v>54</v>
      </c>
      <c r="AI9" s="46">
        <f t="shared" si="1"/>
        <v>15</v>
      </c>
      <c r="AJ9" s="46">
        <f t="shared" si="1"/>
        <v>25</v>
      </c>
      <c r="AK9" s="46">
        <f t="shared" si="1"/>
        <v>50</v>
      </c>
      <c r="AL9" s="46">
        <f t="shared" si="1"/>
        <v>60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23</v>
      </c>
      <c r="I10" s="40">
        <f t="shared" si="0"/>
        <v>38</v>
      </c>
      <c r="J10" s="66">
        <f t="shared" si="0"/>
        <v>53</v>
      </c>
      <c r="K10" s="43">
        <f t="shared" si="0"/>
        <v>8</v>
      </c>
      <c r="L10" s="40">
        <f t="shared" si="0"/>
        <v>21</v>
      </c>
      <c r="M10" s="40">
        <f t="shared" si="0"/>
        <v>34</v>
      </c>
      <c r="N10" s="66">
        <f t="shared" si="0"/>
        <v>47</v>
      </c>
      <c r="O10" s="43">
        <f t="shared" si="0"/>
        <v>8</v>
      </c>
      <c r="P10" s="40">
        <f t="shared" si="0"/>
        <v>19</v>
      </c>
      <c r="Q10" s="40">
        <f t="shared" si="0"/>
        <v>45</v>
      </c>
      <c r="R10" s="66">
        <f t="shared" si="0"/>
        <v>56</v>
      </c>
      <c r="S10" s="43">
        <f t="shared" si="0"/>
        <v>8</v>
      </c>
      <c r="T10" s="40">
        <f t="shared" si="0"/>
        <v>17</v>
      </c>
      <c r="U10" s="40">
        <f t="shared" si="0"/>
        <v>41</v>
      </c>
      <c r="V10" s="66">
        <f t="shared" si="0"/>
        <v>50</v>
      </c>
      <c r="W10" s="46">
        <f t="shared" si="1"/>
        <v>16</v>
      </c>
      <c r="X10" s="46">
        <f t="shared" si="1"/>
        <v>30</v>
      </c>
      <c r="Y10" s="46">
        <f t="shared" si="1"/>
        <v>44</v>
      </c>
      <c r="Z10" s="46">
        <f t="shared" si="1"/>
        <v>58</v>
      </c>
      <c r="AA10" s="46">
        <f t="shared" si="1"/>
        <v>16</v>
      </c>
      <c r="AB10" s="46">
        <f t="shared" si="1"/>
        <v>28</v>
      </c>
      <c r="AC10" s="46">
        <f t="shared" si="1"/>
        <v>40</v>
      </c>
      <c r="AD10" s="46">
        <f t="shared" si="1"/>
        <v>7</v>
      </c>
      <c r="AE10" s="46">
        <f t="shared" si="1"/>
        <v>16</v>
      </c>
      <c r="AF10" s="46">
        <f t="shared" si="1"/>
        <v>24</v>
      </c>
      <c r="AG10" s="46">
        <f t="shared" si="1"/>
        <v>47</v>
      </c>
      <c r="AH10" s="46">
        <f t="shared" si="1"/>
        <v>55</v>
      </c>
      <c r="AI10" s="46">
        <f t="shared" si="1"/>
        <v>16</v>
      </c>
      <c r="AJ10" s="46">
        <f t="shared" si="1"/>
        <v>26</v>
      </c>
      <c r="AK10" s="46">
        <f t="shared" si="1"/>
        <v>51</v>
      </c>
      <c r="AL10" s="46">
        <f t="shared" si="1"/>
        <v>1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24</v>
      </c>
      <c r="I11" s="40">
        <f t="shared" si="0"/>
        <v>39</v>
      </c>
      <c r="J11" s="66">
        <f t="shared" si="0"/>
        <v>54</v>
      </c>
      <c r="K11" s="43">
        <f t="shared" si="0"/>
        <v>9</v>
      </c>
      <c r="L11" s="40">
        <f t="shared" si="0"/>
        <v>22</v>
      </c>
      <c r="M11" s="40">
        <f t="shared" si="0"/>
        <v>35</v>
      </c>
      <c r="N11" s="66">
        <f t="shared" si="0"/>
        <v>48</v>
      </c>
      <c r="O11" s="43">
        <f t="shared" si="0"/>
        <v>9</v>
      </c>
      <c r="P11" s="40">
        <f t="shared" si="0"/>
        <v>20</v>
      </c>
      <c r="Q11" s="40">
        <f t="shared" si="0"/>
        <v>31</v>
      </c>
      <c r="R11" s="66">
        <f t="shared" si="0"/>
        <v>57</v>
      </c>
      <c r="S11" s="43">
        <f t="shared" si="0"/>
        <v>9</v>
      </c>
      <c r="T11" s="40">
        <f t="shared" si="0"/>
        <v>18</v>
      </c>
      <c r="U11" s="40">
        <f t="shared" si="0"/>
        <v>42</v>
      </c>
      <c r="V11" s="66">
        <f t="shared" si="0"/>
        <v>51</v>
      </c>
      <c r="W11" s="46">
        <f t="shared" si="1"/>
        <v>17</v>
      </c>
      <c r="X11" s="46">
        <f t="shared" si="1"/>
        <v>31</v>
      </c>
      <c r="Y11" s="46">
        <f t="shared" si="1"/>
        <v>45</v>
      </c>
      <c r="Z11" s="46">
        <f t="shared" si="1"/>
        <v>59</v>
      </c>
      <c r="AA11" s="46">
        <f t="shared" si="1"/>
        <v>17</v>
      </c>
      <c r="AB11" s="46">
        <f t="shared" si="1"/>
        <v>29</v>
      </c>
      <c r="AC11" s="46">
        <f t="shared" si="1"/>
        <v>41</v>
      </c>
      <c r="AD11" s="46">
        <f t="shared" si="1"/>
        <v>8</v>
      </c>
      <c r="AE11" s="46">
        <f t="shared" si="1"/>
        <v>17</v>
      </c>
      <c r="AF11" s="46">
        <f t="shared" si="1"/>
        <v>25</v>
      </c>
      <c r="AG11" s="46">
        <f t="shared" si="1"/>
        <v>48</v>
      </c>
      <c r="AH11" s="46">
        <f t="shared" si="1"/>
        <v>56</v>
      </c>
      <c r="AI11" s="46">
        <f t="shared" si="1"/>
        <v>17</v>
      </c>
      <c r="AJ11" s="46">
        <f t="shared" si="1"/>
        <v>27</v>
      </c>
      <c r="AK11" s="46">
        <f t="shared" si="1"/>
        <v>52</v>
      </c>
      <c r="AL11" s="46">
        <f t="shared" si="1"/>
        <v>2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25</v>
      </c>
      <c r="I12" s="40">
        <f t="shared" si="0"/>
        <v>40</v>
      </c>
      <c r="J12" s="66">
        <f t="shared" si="0"/>
        <v>55</v>
      </c>
      <c r="K12" s="43">
        <f t="shared" si="0"/>
        <v>10</v>
      </c>
      <c r="L12" s="40">
        <f t="shared" si="0"/>
        <v>23</v>
      </c>
      <c r="M12" s="40">
        <f t="shared" si="0"/>
        <v>36</v>
      </c>
      <c r="N12" s="66">
        <f t="shared" si="0"/>
        <v>49</v>
      </c>
      <c r="O12" s="43">
        <f t="shared" si="0"/>
        <v>10</v>
      </c>
      <c r="P12" s="40">
        <f t="shared" si="0"/>
        <v>21</v>
      </c>
      <c r="Q12" s="40">
        <f t="shared" si="0"/>
        <v>32</v>
      </c>
      <c r="R12" s="66">
        <f t="shared" si="0"/>
        <v>58</v>
      </c>
      <c r="S12" s="43">
        <f t="shared" si="0"/>
        <v>10</v>
      </c>
      <c r="T12" s="40">
        <f t="shared" si="0"/>
        <v>19</v>
      </c>
      <c r="U12" s="40">
        <f t="shared" si="0"/>
        <v>43</v>
      </c>
      <c r="V12" s="66">
        <f t="shared" si="0"/>
        <v>52</v>
      </c>
      <c r="W12" s="46">
        <f t="shared" si="1"/>
        <v>18</v>
      </c>
      <c r="X12" s="46">
        <f t="shared" si="1"/>
        <v>32</v>
      </c>
      <c r="Y12" s="46">
        <f t="shared" si="1"/>
        <v>46</v>
      </c>
      <c r="Z12" s="46">
        <f t="shared" si="1"/>
        <v>60</v>
      </c>
      <c r="AA12" s="46">
        <f t="shared" si="1"/>
        <v>18</v>
      </c>
      <c r="AB12" s="46">
        <f t="shared" si="1"/>
        <v>30</v>
      </c>
      <c r="AC12" s="46">
        <f t="shared" si="1"/>
        <v>42</v>
      </c>
      <c r="AD12" s="46">
        <f t="shared" si="1"/>
        <v>54</v>
      </c>
      <c r="AE12" s="46">
        <f t="shared" si="1"/>
        <v>18</v>
      </c>
      <c r="AF12" s="46">
        <f t="shared" si="1"/>
        <v>26</v>
      </c>
      <c r="AG12" s="46">
        <f t="shared" si="1"/>
        <v>49</v>
      </c>
      <c r="AH12" s="46">
        <f t="shared" si="1"/>
        <v>57</v>
      </c>
      <c r="AI12" s="46">
        <f t="shared" si="1"/>
        <v>18</v>
      </c>
      <c r="AJ12" s="46">
        <f t="shared" si="1"/>
        <v>28</v>
      </c>
      <c r="AK12" s="46">
        <f t="shared" si="1"/>
        <v>53</v>
      </c>
      <c r="AL12" s="46">
        <f t="shared" si="1"/>
        <v>3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26</v>
      </c>
      <c r="I13" s="40">
        <f t="shared" si="0"/>
        <v>41</v>
      </c>
      <c r="J13" s="66">
        <f t="shared" si="0"/>
        <v>56</v>
      </c>
      <c r="K13" s="43">
        <f t="shared" si="0"/>
        <v>11</v>
      </c>
      <c r="L13" s="40">
        <f t="shared" si="0"/>
        <v>24</v>
      </c>
      <c r="M13" s="40">
        <f t="shared" si="0"/>
        <v>37</v>
      </c>
      <c r="N13" s="66">
        <f t="shared" si="0"/>
        <v>50</v>
      </c>
      <c r="O13" s="43">
        <f t="shared" si="0"/>
        <v>11</v>
      </c>
      <c r="P13" s="40">
        <f t="shared" si="0"/>
        <v>22</v>
      </c>
      <c r="Q13" s="40">
        <f t="shared" si="0"/>
        <v>33</v>
      </c>
      <c r="R13" s="66">
        <f t="shared" si="0"/>
        <v>59</v>
      </c>
      <c r="S13" s="43">
        <f t="shared" si="0"/>
        <v>11</v>
      </c>
      <c r="T13" s="40">
        <f t="shared" si="0"/>
        <v>20</v>
      </c>
      <c r="U13" s="40">
        <f t="shared" si="0"/>
        <v>44</v>
      </c>
      <c r="V13" s="66">
        <f t="shared" si="0"/>
        <v>53</v>
      </c>
      <c r="W13" s="46">
        <f t="shared" si="1"/>
        <v>19</v>
      </c>
      <c r="X13" s="46">
        <f t="shared" si="1"/>
        <v>33</v>
      </c>
      <c r="Y13" s="46">
        <f t="shared" si="1"/>
        <v>47</v>
      </c>
      <c r="Z13" s="46">
        <f t="shared" si="1"/>
        <v>1</v>
      </c>
      <c r="AA13" s="46">
        <f t="shared" si="1"/>
        <v>19</v>
      </c>
      <c r="AB13" s="46">
        <f t="shared" si="1"/>
        <v>31</v>
      </c>
      <c r="AC13" s="46">
        <f t="shared" si="1"/>
        <v>43</v>
      </c>
      <c r="AD13" s="46">
        <f t="shared" si="1"/>
        <v>55</v>
      </c>
      <c r="AE13" s="46">
        <f t="shared" si="1"/>
        <v>19</v>
      </c>
      <c r="AF13" s="46">
        <f t="shared" si="1"/>
        <v>27</v>
      </c>
      <c r="AG13" s="46">
        <f t="shared" si="1"/>
        <v>50</v>
      </c>
      <c r="AH13" s="46">
        <f t="shared" si="1"/>
        <v>58</v>
      </c>
      <c r="AI13" s="46">
        <f t="shared" si="1"/>
        <v>19</v>
      </c>
      <c r="AJ13" s="46">
        <f t="shared" si="1"/>
        <v>29</v>
      </c>
      <c r="AK13" s="46">
        <f t="shared" si="1"/>
        <v>39</v>
      </c>
      <c r="AL13" s="46">
        <f t="shared" si="1"/>
        <v>4</v>
      </c>
    </row>
    <row r="14" spans="1:38" x14ac:dyDescent="0.35">
      <c r="A14" s="18">
        <v>11</v>
      </c>
      <c r="B14" s="19" t="s">
        <v>18</v>
      </c>
      <c r="D14">
        <f>$B$2/$C$2-$E$2/2+1</f>
        <v>11</v>
      </c>
      <c r="E14">
        <f>$B$2/$C$2+$E$2/2</f>
        <v>20</v>
      </c>
      <c r="G14" s="43">
        <f t="shared" si="0"/>
        <v>12</v>
      </c>
      <c r="H14" s="40">
        <f t="shared" si="0"/>
        <v>27</v>
      </c>
      <c r="I14" s="40">
        <f t="shared" si="0"/>
        <v>42</v>
      </c>
      <c r="J14" s="66">
        <f t="shared" si="0"/>
        <v>57</v>
      </c>
      <c r="K14" s="43">
        <f t="shared" si="0"/>
        <v>12</v>
      </c>
      <c r="L14" s="40">
        <f t="shared" si="0"/>
        <v>25</v>
      </c>
      <c r="M14" s="40">
        <f t="shared" si="0"/>
        <v>38</v>
      </c>
      <c r="N14" s="66">
        <f t="shared" si="0"/>
        <v>51</v>
      </c>
      <c r="O14" s="43">
        <f t="shared" si="0"/>
        <v>12</v>
      </c>
      <c r="P14" s="40">
        <f t="shared" si="0"/>
        <v>23</v>
      </c>
      <c r="Q14" s="40">
        <f t="shared" si="0"/>
        <v>34</v>
      </c>
      <c r="R14" s="66">
        <f t="shared" si="0"/>
        <v>60</v>
      </c>
      <c r="S14" s="43">
        <f t="shared" si="0"/>
        <v>12</v>
      </c>
      <c r="T14" s="40">
        <f t="shared" si="0"/>
        <v>21</v>
      </c>
      <c r="U14" s="40">
        <f t="shared" si="0"/>
        <v>45</v>
      </c>
      <c r="V14" s="66">
        <f t="shared" si="0"/>
        <v>54</v>
      </c>
      <c r="W14" s="46">
        <f t="shared" si="1"/>
        <v>20</v>
      </c>
      <c r="X14" s="46">
        <f t="shared" si="1"/>
        <v>34</v>
      </c>
      <c r="Y14" s="46">
        <f t="shared" si="1"/>
        <v>48</v>
      </c>
      <c r="Z14" s="46">
        <f t="shared" si="1"/>
        <v>2</v>
      </c>
      <c r="AA14" s="46">
        <f t="shared" si="1"/>
        <v>20</v>
      </c>
      <c r="AB14" s="46">
        <f t="shared" si="1"/>
        <v>32</v>
      </c>
      <c r="AC14" s="46">
        <f t="shared" si="1"/>
        <v>44</v>
      </c>
      <c r="AD14" s="46">
        <f t="shared" si="1"/>
        <v>56</v>
      </c>
      <c r="AE14" s="46">
        <f t="shared" si="1"/>
        <v>20</v>
      </c>
      <c r="AF14" s="46">
        <f t="shared" si="1"/>
        <v>28</v>
      </c>
      <c r="AG14" s="46">
        <f t="shared" si="1"/>
        <v>51</v>
      </c>
      <c r="AH14" s="46">
        <f t="shared" si="1"/>
        <v>59</v>
      </c>
      <c r="AI14" s="46">
        <f t="shared" si="1"/>
        <v>20</v>
      </c>
      <c r="AJ14" s="46">
        <f t="shared" si="1"/>
        <v>30</v>
      </c>
      <c r="AK14" s="46">
        <f t="shared" si="1"/>
        <v>40</v>
      </c>
      <c r="AL14" s="46">
        <f t="shared" si="1"/>
        <v>5</v>
      </c>
    </row>
    <row r="15" spans="1:38" x14ac:dyDescent="0.35">
      <c r="A15" s="18">
        <v>12</v>
      </c>
      <c r="B15" s="19" t="s">
        <v>18</v>
      </c>
      <c r="D15">
        <f>2*$B$2/$C$2-$E$2/2+1</f>
        <v>26</v>
      </c>
      <c r="E15">
        <f>2*$B$2/$C$2+$E$2/2</f>
        <v>35</v>
      </c>
      <c r="G15" s="43">
        <f t="shared" si="0"/>
        <v>13</v>
      </c>
      <c r="H15" s="40">
        <f t="shared" si="0"/>
        <v>28</v>
      </c>
      <c r="I15" s="40">
        <f t="shared" si="0"/>
        <v>43</v>
      </c>
      <c r="J15" s="66">
        <f t="shared" si="0"/>
        <v>58</v>
      </c>
      <c r="K15" s="43">
        <f t="shared" si="0"/>
        <v>13</v>
      </c>
      <c r="L15" s="40">
        <f t="shared" si="0"/>
        <v>26</v>
      </c>
      <c r="M15" s="40">
        <f t="shared" si="0"/>
        <v>39</v>
      </c>
      <c r="N15" s="66">
        <f t="shared" si="0"/>
        <v>52</v>
      </c>
      <c r="O15" s="43">
        <f t="shared" si="0"/>
        <v>13</v>
      </c>
      <c r="P15" s="40">
        <f t="shared" si="0"/>
        <v>24</v>
      </c>
      <c r="Q15" s="40">
        <f t="shared" si="0"/>
        <v>35</v>
      </c>
      <c r="R15" s="66">
        <f t="shared" si="0"/>
        <v>46</v>
      </c>
      <c r="S15" s="43">
        <f t="shared" si="0"/>
        <v>13</v>
      </c>
      <c r="T15" s="40">
        <f t="shared" si="0"/>
        <v>22</v>
      </c>
      <c r="U15" s="40">
        <f t="shared" si="0"/>
        <v>31</v>
      </c>
      <c r="V15" s="66">
        <f t="shared" si="0"/>
        <v>55</v>
      </c>
      <c r="W15" s="46">
        <f t="shared" si="1"/>
        <v>21</v>
      </c>
      <c r="X15" s="46">
        <f t="shared" si="1"/>
        <v>35</v>
      </c>
      <c r="Y15" s="46">
        <f t="shared" si="1"/>
        <v>49</v>
      </c>
      <c r="Z15" s="46">
        <f t="shared" si="1"/>
        <v>3</v>
      </c>
      <c r="AA15" s="46">
        <f t="shared" si="1"/>
        <v>21</v>
      </c>
      <c r="AB15" s="46">
        <f t="shared" si="1"/>
        <v>33</v>
      </c>
      <c r="AC15" s="46">
        <f t="shared" si="1"/>
        <v>45</v>
      </c>
      <c r="AD15" s="46">
        <f t="shared" si="1"/>
        <v>57</v>
      </c>
      <c r="AE15" s="46">
        <f t="shared" si="1"/>
        <v>21</v>
      </c>
      <c r="AF15" s="46">
        <f t="shared" si="1"/>
        <v>29</v>
      </c>
      <c r="AG15" s="46">
        <f t="shared" si="1"/>
        <v>52</v>
      </c>
      <c r="AH15" s="46">
        <f t="shared" si="1"/>
        <v>60</v>
      </c>
      <c r="AI15" s="46">
        <f t="shared" si="1"/>
        <v>21</v>
      </c>
      <c r="AJ15" s="46">
        <f t="shared" si="1"/>
        <v>31</v>
      </c>
      <c r="AK15" s="46">
        <f t="shared" si="1"/>
        <v>41</v>
      </c>
      <c r="AL15" s="46">
        <f t="shared" si="1"/>
        <v>6</v>
      </c>
    </row>
    <row r="16" spans="1:38" x14ac:dyDescent="0.35">
      <c r="A16" s="18">
        <v>13</v>
      </c>
      <c r="B16" s="19" t="s">
        <v>18</v>
      </c>
      <c r="D16">
        <f>3*$B$2/$C$2-$E$2/2+1</f>
        <v>41</v>
      </c>
      <c r="E16">
        <f>3*$B$2/$C$2+$E$2/2</f>
        <v>50</v>
      </c>
      <c r="G16" s="43">
        <f t="shared" si="0"/>
        <v>14</v>
      </c>
      <c r="H16" s="40">
        <f t="shared" si="0"/>
        <v>29</v>
      </c>
      <c r="I16" s="40">
        <f t="shared" si="0"/>
        <v>44</v>
      </c>
      <c r="J16" s="66">
        <f t="shared" si="0"/>
        <v>59</v>
      </c>
      <c r="K16" s="43">
        <f t="shared" si="0"/>
        <v>14</v>
      </c>
      <c r="L16" s="40">
        <f t="shared" si="0"/>
        <v>27</v>
      </c>
      <c r="M16" s="40">
        <f t="shared" si="0"/>
        <v>40</v>
      </c>
      <c r="N16" s="66">
        <f t="shared" si="0"/>
        <v>53</v>
      </c>
      <c r="O16" s="43">
        <f t="shared" si="0"/>
        <v>14</v>
      </c>
      <c r="P16" s="40">
        <f t="shared" si="0"/>
        <v>25</v>
      </c>
      <c r="Q16" s="40">
        <f t="shared" si="0"/>
        <v>36</v>
      </c>
      <c r="R16" s="66">
        <f t="shared" si="0"/>
        <v>47</v>
      </c>
      <c r="S16" s="43">
        <f t="shared" si="0"/>
        <v>14</v>
      </c>
      <c r="T16" s="40">
        <f t="shared" si="0"/>
        <v>23</v>
      </c>
      <c r="U16" s="40">
        <f t="shared" si="0"/>
        <v>32</v>
      </c>
      <c r="V16" s="66">
        <f t="shared" si="0"/>
        <v>56</v>
      </c>
      <c r="W16" s="46">
        <f t="shared" si="1"/>
        <v>22</v>
      </c>
      <c r="X16" s="46">
        <f t="shared" si="1"/>
        <v>36</v>
      </c>
      <c r="Y16" s="46">
        <f t="shared" si="1"/>
        <v>50</v>
      </c>
      <c r="Z16" s="46">
        <f t="shared" si="1"/>
        <v>4</v>
      </c>
      <c r="AA16" s="46">
        <f t="shared" si="1"/>
        <v>22</v>
      </c>
      <c r="AB16" s="46">
        <f t="shared" si="1"/>
        <v>34</v>
      </c>
      <c r="AC16" s="46">
        <f t="shared" si="1"/>
        <v>46</v>
      </c>
      <c r="AD16" s="46">
        <f t="shared" si="1"/>
        <v>58</v>
      </c>
      <c r="AE16" s="46">
        <f t="shared" si="1"/>
        <v>22</v>
      </c>
      <c r="AF16" s="46">
        <f t="shared" si="1"/>
        <v>30</v>
      </c>
      <c r="AG16" s="46">
        <f t="shared" si="1"/>
        <v>53</v>
      </c>
      <c r="AH16" s="46">
        <f t="shared" si="1"/>
        <v>1</v>
      </c>
      <c r="AI16" s="46">
        <f t="shared" si="1"/>
        <v>22</v>
      </c>
      <c r="AJ16" s="46">
        <f t="shared" si="1"/>
        <v>32</v>
      </c>
      <c r="AK16" s="46">
        <f t="shared" si="1"/>
        <v>42</v>
      </c>
      <c r="AL16" s="46">
        <f t="shared" si="1"/>
        <v>7</v>
      </c>
    </row>
    <row r="17" spans="1:38" x14ac:dyDescent="0.35">
      <c r="A17" s="3">
        <v>14</v>
      </c>
      <c r="B17" s="22" t="s">
        <v>19</v>
      </c>
      <c r="D17">
        <f>$B$2-2</f>
        <v>58</v>
      </c>
      <c r="E17">
        <f>$B$2</f>
        <v>60</v>
      </c>
      <c r="G17" s="43">
        <f t="shared" si="0"/>
        <v>15</v>
      </c>
      <c r="H17" s="40">
        <f t="shared" si="0"/>
        <v>30</v>
      </c>
      <c r="I17" s="40">
        <f t="shared" si="0"/>
        <v>45</v>
      </c>
      <c r="J17" s="66">
        <f t="shared" si="0"/>
        <v>60</v>
      </c>
      <c r="K17" s="43">
        <f t="shared" si="0"/>
        <v>15</v>
      </c>
      <c r="L17" s="40">
        <f t="shared" si="0"/>
        <v>28</v>
      </c>
      <c r="M17" s="40">
        <f t="shared" si="0"/>
        <v>41</v>
      </c>
      <c r="N17" s="66">
        <f t="shared" si="0"/>
        <v>54</v>
      </c>
      <c r="O17" s="43">
        <f t="shared" si="0"/>
        <v>15</v>
      </c>
      <c r="P17" s="40">
        <f t="shared" si="0"/>
        <v>26</v>
      </c>
      <c r="Q17" s="40">
        <f t="shared" si="0"/>
        <v>37</v>
      </c>
      <c r="R17" s="66">
        <f t="shared" si="0"/>
        <v>48</v>
      </c>
      <c r="S17" s="43">
        <f t="shared" si="0"/>
        <v>15</v>
      </c>
      <c r="T17" s="40">
        <f t="shared" si="0"/>
        <v>24</v>
      </c>
      <c r="U17" s="40">
        <f t="shared" si="0"/>
        <v>33</v>
      </c>
      <c r="V17" s="66">
        <f t="shared" si="0"/>
        <v>57</v>
      </c>
      <c r="W17" s="46">
        <f t="shared" si="1"/>
        <v>23</v>
      </c>
      <c r="X17" s="46">
        <f t="shared" si="1"/>
        <v>37</v>
      </c>
      <c r="Y17" s="46">
        <f t="shared" si="1"/>
        <v>51</v>
      </c>
      <c r="Z17" s="46">
        <f t="shared" si="1"/>
        <v>5</v>
      </c>
      <c r="AA17" s="46">
        <f t="shared" si="1"/>
        <v>23</v>
      </c>
      <c r="AB17" s="46">
        <f t="shared" si="1"/>
        <v>35</v>
      </c>
      <c r="AC17" s="46">
        <f t="shared" si="1"/>
        <v>47</v>
      </c>
      <c r="AD17" s="46">
        <f t="shared" si="1"/>
        <v>59</v>
      </c>
      <c r="AE17" s="46">
        <f t="shared" si="1"/>
        <v>23</v>
      </c>
      <c r="AF17" s="46">
        <f t="shared" si="1"/>
        <v>31</v>
      </c>
      <c r="AG17" s="46">
        <f t="shared" si="1"/>
        <v>39</v>
      </c>
      <c r="AH17" s="46">
        <f t="shared" si="1"/>
        <v>2</v>
      </c>
      <c r="AI17" s="46">
        <f t="shared" si="1"/>
        <v>23</v>
      </c>
      <c r="AJ17" s="46">
        <f t="shared" si="1"/>
        <v>33</v>
      </c>
      <c r="AK17" s="46">
        <f t="shared" si="1"/>
        <v>43</v>
      </c>
      <c r="AL17" s="46">
        <f t="shared" si="1"/>
        <v>8</v>
      </c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18.5</v>
      </c>
      <c r="E19">
        <f>ROUND($B$2/$C$2+$E$2/2+$B$2/8,0)</f>
        <v>28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33.5</v>
      </c>
      <c r="E20">
        <f>ROUND(2*$B$2/$C$2+$E$2/2+$B$2/8,0)</f>
        <v>43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48.5</v>
      </c>
      <c r="E21">
        <f>ROUND(3*$B$2/$C$2+$E$2/2+$B$2/8,0)</f>
        <v>58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58</v>
      </c>
      <c r="E22">
        <f>$B$2</f>
        <v>60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3.5</v>
      </c>
      <c r="E23">
        <f>ROUND($B$2/$C$2+$E$2/2-$B$2/8,0)</f>
        <v>13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91" priority="6" operator="between">
      <formula>$D$17</formula>
      <formula>$E$17</formula>
    </cfRule>
    <cfRule type="cellIs" dxfId="190" priority="7" operator="between">
      <formula>$D$16</formula>
      <formula>$E$16</formula>
    </cfRule>
    <cfRule type="cellIs" dxfId="189" priority="8" operator="between">
      <formula>$D$15</formula>
      <formula>$E$15</formula>
    </cfRule>
    <cfRule type="cellIs" dxfId="188" priority="9" operator="between">
      <formula>$D$14</formula>
      <formula>$E$14</formula>
    </cfRule>
  </conditionalFormatting>
  <conditionalFormatting sqref="W3:AL22">
    <cfRule type="cellIs" dxfId="187" priority="1" operator="between">
      <formula>$D$23</formula>
      <formula>$E$23</formula>
    </cfRule>
    <cfRule type="cellIs" dxfId="186" priority="2" operator="between">
      <formula>$D$22</formula>
      <formula>$E$22</formula>
    </cfRule>
    <cfRule type="cellIs" dxfId="185" priority="3" operator="between">
      <formula>$D$21</formula>
      <formula>$E$21</formula>
    </cfRule>
    <cfRule type="cellIs" dxfId="184" priority="4" operator="between">
      <formula>$D$20</formula>
      <formula>$E$20</formula>
    </cfRule>
    <cfRule type="cellIs" dxfId="183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P35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15</v>
      </c>
      <c r="C4" s="58">
        <v>29</v>
      </c>
      <c r="D4" s="59">
        <v>43</v>
      </c>
      <c r="E4" s="57">
        <v>1</v>
      </c>
      <c r="F4" s="58">
        <v>27</v>
      </c>
      <c r="G4" s="86">
        <v>39</v>
      </c>
      <c r="H4" s="59">
        <v>51</v>
      </c>
      <c r="I4" s="57">
        <v>1</v>
      </c>
      <c r="J4" s="58">
        <v>25</v>
      </c>
      <c r="K4" s="58">
        <v>35</v>
      </c>
      <c r="L4" s="90">
        <v>45</v>
      </c>
      <c r="M4" s="57">
        <v>1</v>
      </c>
      <c r="N4" s="86">
        <v>23</v>
      </c>
      <c r="O4" s="58">
        <v>31</v>
      </c>
      <c r="P4" s="59">
        <v>53</v>
      </c>
    </row>
    <row r="5" spans="1:16" x14ac:dyDescent="0.35">
      <c r="A5" s="82">
        <v>2</v>
      </c>
      <c r="B5" s="55">
        <v>16</v>
      </c>
      <c r="C5" s="55">
        <v>30</v>
      </c>
      <c r="D5" s="56">
        <v>44</v>
      </c>
      <c r="E5" s="75">
        <v>2</v>
      </c>
      <c r="F5" s="76">
        <v>28</v>
      </c>
      <c r="G5" s="87">
        <v>40</v>
      </c>
      <c r="H5" s="77">
        <v>52</v>
      </c>
      <c r="I5" s="49">
        <v>2</v>
      </c>
      <c r="J5" s="50">
        <v>26</v>
      </c>
      <c r="K5" s="50">
        <v>36</v>
      </c>
      <c r="L5" s="91">
        <v>46</v>
      </c>
      <c r="M5" s="75">
        <v>2</v>
      </c>
      <c r="N5" s="87">
        <v>24</v>
      </c>
      <c r="O5" s="76">
        <v>32</v>
      </c>
      <c r="P5" s="77">
        <v>54</v>
      </c>
    </row>
    <row r="6" spans="1:16" x14ac:dyDescent="0.35">
      <c r="A6" s="83">
        <v>3</v>
      </c>
      <c r="B6" s="61">
        <v>17</v>
      </c>
      <c r="C6" s="61">
        <v>31</v>
      </c>
      <c r="D6" s="62">
        <v>45</v>
      </c>
      <c r="E6" s="60">
        <v>3</v>
      </c>
      <c r="F6" s="61">
        <v>15</v>
      </c>
      <c r="G6" s="88">
        <v>41</v>
      </c>
      <c r="H6" s="62">
        <v>53</v>
      </c>
      <c r="I6" s="60">
        <v>3</v>
      </c>
      <c r="J6" s="61">
        <v>27</v>
      </c>
      <c r="K6" s="61">
        <v>37</v>
      </c>
      <c r="L6" s="92">
        <v>47</v>
      </c>
      <c r="M6" s="60">
        <v>3</v>
      </c>
      <c r="N6" s="88">
        <v>25</v>
      </c>
      <c r="O6" s="61">
        <v>33</v>
      </c>
      <c r="P6" s="62">
        <v>55</v>
      </c>
    </row>
    <row r="7" spans="1:16" x14ac:dyDescent="0.35">
      <c r="A7" s="82">
        <v>4</v>
      </c>
      <c r="B7" s="55">
        <v>18</v>
      </c>
      <c r="C7" s="55">
        <v>32</v>
      </c>
      <c r="D7" s="56">
        <v>46</v>
      </c>
      <c r="E7" s="75">
        <v>4</v>
      </c>
      <c r="F7" s="76">
        <v>16</v>
      </c>
      <c r="G7" s="87">
        <v>42</v>
      </c>
      <c r="H7" s="77">
        <v>54</v>
      </c>
      <c r="I7" s="49">
        <v>4</v>
      </c>
      <c r="J7" s="50">
        <v>28</v>
      </c>
      <c r="K7" s="50">
        <v>38</v>
      </c>
      <c r="L7" s="91">
        <v>48</v>
      </c>
      <c r="M7" s="75">
        <v>4</v>
      </c>
      <c r="N7" s="87">
        <v>26</v>
      </c>
      <c r="O7" s="76">
        <v>34</v>
      </c>
      <c r="P7" s="77">
        <v>56</v>
      </c>
    </row>
    <row r="8" spans="1:16" x14ac:dyDescent="0.35">
      <c r="A8" s="83">
        <v>5</v>
      </c>
      <c r="B8" s="61">
        <v>19</v>
      </c>
      <c r="C8" s="61">
        <v>33</v>
      </c>
      <c r="D8" s="62">
        <v>47</v>
      </c>
      <c r="E8" s="60">
        <v>5</v>
      </c>
      <c r="F8" s="61">
        <v>17</v>
      </c>
      <c r="G8" s="88">
        <v>29</v>
      </c>
      <c r="H8" s="62">
        <v>55</v>
      </c>
      <c r="I8" s="60">
        <v>5</v>
      </c>
      <c r="J8" s="61">
        <v>15</v>
      </c>
      <c r="K8" s="61">
        <v>39</v>
      </c>
      <c r="L8" s="92">
        <v>49</v>
      </c>
      <c r="M8" s="60">
        <v>5</v>
      </c>
      <c r="N8" s="88">
        <v>27</v>
      </c>
      <c r="O8" s="61">
        <v>35</v>
      </c>
      <c r="P8" s="62">
        <v>43</v>
      </c>
    </row>
    <row r="9" spans="1:16" x14ac:dyDescent="0.35">
      <c r="A9" s="82">
        <v>6</v>
      </c>
      <c r="B9" s="55">
        <v>20</v>
      </c>
      <c r="C9" s="55">
        <v>34</v>
      </c>
      <c r="D9" s="56">
        <v>48</v>
      </c>
      <c r="E9" s="75">
        <v>6</v>
      </c>
      <c r="F9" s="76">
        <v>18</v>
      </c>
      <c r="G9" s="87">
        <v>30</v>
      </c>
      <c r="H9" s="77">
        <v>56</v>
      </c>
      <c r="I9" s="49">
        <v>6</v>
      </c>
      <c r="J9" s="50">
        <v>16</v>
      </c>
      <c r="K9" s="50">
        <v>40</v>
      </c>
      <c r="L9" s="91">
        <v>50</v>
      </c>
      <c r="M9" s="75">
        <v>6</v>
      </c>
      <c r="N9" s="87">
        <v>28</v>
      </c>
      <c r="O9" s="76">
        <v>36</v>
      </c>
      <c r="P9" s="77">
        <v>44</v>
      </c>
    </row>
    <row r="10" spans="1:16" x14ac:dyDescent="0.35">
      <c r="A10" s="83">
        <v>7</v>
      </c>
      <c r="B10" s="61">
        <v>21</v>
      </c>
      <c r="C10" s="61">
        <v>35</v>
      </c>
      <c r="D10" s="62">
        <v>49</v>
      </c>
      <c r="E10" s="60">
        <v>7</v>
      </c>
      <c r="F10" s="61">
        <v>19</v>
      </c>
      <c r="G10" s="88">
        <v>31</v>
      </c>
      <c r="H10" s="62">
        <v>43</v>
      </c>
      <c r="I10" s="60">
        <v>7</v>
      </c>
      <c r="J10" s="61">
        <v>17</v>
      </c>
      <c r="K10" s="61">
        <v>41</v>
      </c>
      <c r="L10" s="92">
        <v>51</v>
      </c>
      <c r="M10" s="60">
        <v>7</v>
      </c>
      <c r="N10" s="88">
        <v>15</v>
      </c>
      <c r="O10" s="61">
        <v>37</v>
      </c>
      <c r="P10" s="62">
        <v>45</v>
      </c>
    </row>
    <row r="11" spans="1:16" x14ac:dyDescent="0.35">
      <c r="A11" s="84">
        <v>8</v>
      </c>
      <c r="B11" s="50">
        <v>22</v>
      </c>
      <c r="C11" s="50">
        <v>36</v>
      </c>
      <c r="D11" s="51">
        <v>50</v>
      </c>
      <c r="E11" s="75">
        <v>8</v>
      </c>
      <c r="F11" s="76">
        <v>20</v>
      </c>
      <c r="G11" s="87">
        <v>32</v>
      </c>
      <c r="H11" s="77">
        <v>44</v>
      </c>
      <c r="I11" s="49">
        <v>8</v>
      </c>
      <c r="J11" s="50">
        <v>18</v>
      </c>
      <c r="K11" s="50">
        <v>42</v>
      </c>
      <c r="L11" s="91">
        <v>52</v>
      </c>
      <c r="M11" s="75">
        <v>8</v>
      </c>
      <c r="N11" s="87">
        <v>16</v>
      </c>
      <c r="O11" s="76">
        <v>38</v>
      </c>
      <c r="P11" s="77">
        <v>46</v>
      </c>
    </row>
    <row r="12" spans="1:16" x14ac:dyDescent="0.35">
      <c r="A12" s="83">
        <v>9</v>
      </c>
      <c r="B12" s="61">
        <v>23</v>
      </c>
      <c r="C12" s="61">
        <v>37</v>
      </c>
      <c r="D12" s="62">
        <v>51</v>
      </c>
      <c r="E12" s="60">
        <v>9</v>
      </c>
      <c r="F12" s="61">
        <v>21</v>
      </c>
      <c r="G12" s="88">
        <v>33</v>
      </c>
      <c r="H12" s="62">
        <v>45</v>
      </c>
      <c r="I12" s="60">
        <v>9</v>
      </c>
      <c r="J12" s="61">
        <v>19</v>
      </c>
      <c r="K12" s="61">
        <v>29</v>
      </c>
      <c r="L12" s="92">
        <v>53</v>
      </c>
      <c r="M12" s="60">
        <v>9</v>
      </c>
      <c r="N12" s="88">
        <v>17</v>
      </c>
      <c r="O12" s="61">
        <v>39</v>
      </c>
      <c r="P12" s="62">
        <v>47</v>
      </c>
    </row>
    <row r="13" spans="1:16" x14ac:dyDescent="0.35">
      <c r="A13" s="84">
        <v>10</v>
      </c>
      <c r="B13" s="50">
        <v>24</v>
      </c>
      <c r="C13" s="50">
        <v>38</v>
      </c>
      <c r="D13" s="51">
        <v>52</v>
      </c>
      <c r="E13" s="75">
        <v>10</v>
      </c>
      <c r="F13" s="76">
        <v>22</v>
      </c>
      <c r="G13" s="87">
        <v>34</v>
      </c>
      <c r="H13" s="77">
        <v>46</v>
      </c>
      <c r="I13" s="49">
        <v>10</v>
      </c>
      <c r="J13" s="50">
        <v>20</v>
      </c>
      <c r="K13" s="50">
        <v>30</v>
      </c>
      <c r="L13" s="91">
        <v>54</v>
      </c>
      <c r="M13" s="75">
        <v>10</v>
      </c>
      <c r="N13" s="87">
        <v>18</v>
      </c>
      <c r="O13" s="76">
        <v>40</v>
      </c>
      <c r="P13" s="77">
        <v>48</v>
      </c>
    </row>
    <row r="14" spans="1:16" x14ac:dyDescent="0.35">
      <c r="A14" s="83">
        <v>11</v>
      </c>
      <c r="B14" s="61">
        <v>25</v>
      </c>
      <c r="C14" s="61">
        <v>39</v>
      </c>
      <c r="D14" s="62">
        <v>53</v>
      </c>
      <c r="E14" s="60">
        <v>11</v>
      </c>
      <c r="F14" s="61">
        <v>23</v>
      </c>
      <c r="G14" s="88">
        <v>35</v>
      </c>
      <c r="H14" s="62">
        <v>47</v>
      </c>
      <c r="I14" s="60">
        <v>11</v>
      </c>
      <c r="J14" s="61">
        <v>21</v>
      </c>
      <c r="K14" s="61">
        <v>31</v>
      </c>
      <c r="L14" s="92">
        <v>55</v>
      </c>
      <c r="M14" s="60">
        <v>11</v>
      </c>
      <c r="N14" s="88">
        <v>19</v>
      </c>
      <c r="O14" s="61">
        <v>41</v>
      </c>
      <c r="P14" s="62">
        <v>49</v>
      </c>
    </row>
    <row r="15" spans="1:16" x14ac:dyDescent="0.35">
      <c r="A15" s="84">
        <v>12</v>
      </c>
      <c r="B15" s="50">
        <v>26</v>
      </c>
      <c r="C15" s="50">
        <v>40</v>
      </c>
      <c r="D15" s="51">
        <v>54</v>
      </c>
      <c r="E15" s="75">
        <v>12</v>
      </c>
      <c r="F15" s="76">
        <v>24</v>
      </c>
      <c r="G15" s="87">
        <v>36</v>
      </c>
      <c r="H15" s="77">
        <v>48</v>
      </c>
      <c r="I15" s="49">
        <v>12</v>
      </c>
      <c r="J15" s="50">
        <v>22</v>
      </c>
      <c r="K15" s="50">
        <v>32</v>
      </c>
      <c r="L15" s="91">
        <v>56</v>
      </c>
      <c r="M15" s="75">
        <v>12</v>
      </c>
      <c r="N15" s="87">
        <v>20</v>
      </c>
      <c r="O15" s="76">
        <v>42</v>
      </c>
      <c r="P15" s="77">
        <v>50</v>
      </c>
    </row>
    <row r="16" spans="1:16" x14ac:dyDescent="0.35">
      <c r="A16" s="83">
        <v>13</v>
      </c>
      <c r="B16" s="61">
        <v>27</v>
      </c>
      <c r="C16" s="61">
        <v>41</v>
      </c>
      <c r="D16" s="62">
        <v>55</v>
      </c>
      <c r="E16" s="60">
        <v>13</v>
      </c>
      <c r="F16" s="61">
        <v>25</v>
      </c>
      <c r="G16" s="88">
        <v>37</v>
      </c>
      <c r="H16" s="62">
        <v>49</v>
      </c>
      <c r="I16" s="60">
        <v>13</v>
      </c>
      <c r="J16" s="61">
        <v>23</v>
      </c>
      <c r="K16" s="61">
        <v>33</v>
      </c>
      <c r="L16" s="92">
        <v>43</v>
      </c>
      <c r="M16" s="60">
        <v>13</v>
      </c>
      <c r="N16" s="88">
        <v>21</v>
      </c>
      <c r="O16" s="61">
        <v>29</v>
      </c>
      <c r="P16" s="62">
        <v>51</v>
      </c>
    </row>
    <row r="17" spans="1:16" x14ac:dyDescent="0.35">
      <c r="A17" s="84">
        <v>14</v>
      </c>
      <c r="B17" s="50">
        <v>28</v>
      </c>
      <c r="C17" s="50">
        <v>42</v>
      </c>
      <c r="D17" s="51">
        <v>56</v>
      </c>
      <c r="E17" s="75">
        <v>14</v>
      </c>
      <c r="F17" s="76">
        <v>26</v>
      </c>
      <c r="G17" s="87">
        <v>38</v>
      </c>
      <c r="H17" s="77">
        <v>50</v>
      </c>
      <c r="I17" s="49">
        <v>14</v>
      </c>
      <c r="J17" s="50">
        <v>24</v>
      </c>
      <c r="K17" s="50">
        <v>34</v>
      </c>
      <c r="L17" s="91">
        <v>44</v>
      </c>
      <c r="M17" s="75">
        <v>14</v>
      </c>
      <c r="N17" s="87">
        <v>22</v>
      </c>
      <c r="O17" s="76">
        <v>30</v>
      </c>
      <c r="P17" s="77">
        <v>52</v>
      </c>
    </row>
    <row r="18" spans="1:16" ht="15" thickBot="1" x14ac:dyDescent="0.4"/>
    <row r="19" spans="1:16" x14ac:dyDescent="0.35">
      <c r="A19" s="108" t="s">
        <v>34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10"/>
    </row>
    <row r="20" spans="1:16" ht="5.25" customHeight="1" thickBot="1" x14ac:dyDescent="0.4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</row>
    <row r="21" spans="1:16" ht="15" thickBot="1" x14ac:dyDescent="0.4">
      <c r="A21" s="102" t="s">
        <v>30</v>
      </c>
      <c r="B21" s="103"/>
      <c r="C21" s="103"/>
      <c r="D21" s="104"/>
      <c r="E21" s="105" t="s">
        <v>31</v>
      </c>
      <c r="F21" s="106"/>
      <c r="G21" s="106"/>
      <c r="H21" s="107"/>
      <c r="I21" s="102" t="s">
        <v>32</v>
      </c>
      <c r="J21" s="103"/>
      <c r="K21" s="103"/>
      <c r="L21" s="104"/>
      <c r="M21" s="105" t="s">
        <v>33</v>
      </c>
      <c r="N21" s="106"/>
      <c r="O21" s="106"/>
      <c r="P21" s="107"/>
    </row>
    <row r="22" spans="1:16" x14ac:dyDescent="0.35">
      <c r="A22" s="57">
        <v>8</v>
      </c>
      <c r="B22" s="86">
        <v>35</v>
      </c>
      <c r="C22" s="58">
        <v>48</v>
      </c>
      <c r="D22" s="59">
        <v>5</v>
      </c>
      <c r="E22" s="57">
        <v>8</v>
      </c>
      <c r="F22" s="58">
        <v>33</v>
      </c>
      <c r="G22" s="58">
        <v>44</v>
      </c>
      <c r="H22" s="90">
        <v>55</v>
      </c>
      <c r="I22" s="57">
        <v>8</v>
      </c>
      <c r="J22" s="58">
        <v>31</v>
      </c>
      <c r="K22" s="86">
        <v>48</v>
      </c>
      <c r="L22" s="59">
        <v>7</v>
      </c>
      <c r="M22" s="81">
        <v>8</v>
      </c>
      <c r="N22" s="58">
        <v>29</v>
      </c>
      <c r="O22" s="58">
        <v>36</v>
      </c>
      <c r="P22" s="59">
        <v>1</v>
      </c>
    </row>
    <row r="23" spans="1:16" x14ac:dyDescent="0.35">
      <c r="A23" s="94">
        <v>9</v>
      </c>
      <c r="B23" s="95">
        <v>22</v>
      </c>
      <c r="C23" s="55">
        <v>49</v>
      </c>
      <c r="D23" s="56">
        <v>6</v>
      </c>
      <c r="E23" s="75">
        <v>9</v>
      </c>
      <c r="F23" s="76">
        <v>34</v>
      </c>
      <c r="G23" s="76">
        <v>45</v>
      </c>
      <c r="H23" s="98">
        <v>56</v>
      </c>
      <c r="I23" s="49">
        <v>9</v>
      </c>
      <c r="J23" s="50">
        <v>32</v>
      </c>
      <c r="K23" s="96">
        <v>49</v>
      </c>
      <c r="L23" s="51">
        <v>50</v>
      </c>
      <c r="M23" s="100">
        <v>9</v>
      </c>
      <c r="N23" s="76">
        <v>30</v>
      </c>
      <c r="O23" s="76">
        <v>37</v>
      </c>
      <c r="P23" s="77">
        <v>2</v>
      </c>
    </row>
    <row r="24" spans="1:16" x14ac:dyDescent="0.35">
      <c r="A24" s="60">
        <v>10</v>
      </c>
      <c r="B24" s="88">
        <v>23</v>
      </c>
      <c r="C24" s="61">
        <v>36</v>
      </c>
      <c r="D24" s="62">
        <v>7</v>
      </c>
      <c r="E24" s="60">
        <v>10</v>
      </c>
      <c r="F24" s="61">
        <v>35</v>
      </c>
      <c r="G24" s="61">
        <v>46</v>
      </c>
      <c r="H24" s="92">
        <v>1</v>
      </c>
      <c r="I24" s="60">
        <v>10</v>
      </c>
      <c r="J24" s="61">
        <v>33</v>
      </c>
      <c r="K24" s="88">
        <v>36</v>
      </c>
      <c r="L24" s="62">
        <v>51</v>
      </c>
      <c r="M24" s="83">
        <v>10</v>
      </c>
      <c r="N24" s="61">
        <v>31</v>
      </c>
      <c r="O24" s="61">
        <v>38</v>
      </c>
      <c r="P24" s="62">
        <v>3</v>
      </c>
    </row>
    <row r="25" spans="1:16" x14ac:dyDescent="0.35">
      <c r="A25" s="94">
        <v>11</v>
      </c>
      <c r="B25" s="95">
        <v>24</v>
      </c>
      <c r="C25" s="55">
        <v>37</v>
      </c>
      <c r="D25" s="56">
        <v>50</v>
      </c>
      <c r="E25" s="75">
        <v>11</v>
      </c>
      <c r="F25" s="76">
        <v>22</v>
      </c>
      <c r="G25" s="76">
        <v>47</v>
      </c>
      <c r="H25" s="98">
        <v>2</v>
      </c>
      <c r="I25" s="49">
        <v>11</v>
      </c>
      <c r="J25" s="50">
        <v>34</v>
      </c>
      <c r="K25" s="96">
        <v>37</v>
      </c>
      <c r="L25" s="51">
        <v>52</v>
      </c>
      <c r="M25" s="100">
        <v>11</v>
      </c>
      <c r="N25" s="76">
        <v>32</v>
      </c>
      <c r="O25" s="76">
        <v>39</v>
      </c>
      <c r="P25" s="77">
        <v>4</v>
      </c>
    </row>
    <row r="26" spans="1:16" x14ac:dyDescent="0.35">
      <c r="A26" s="60">
        <v>12</v>
      </c>
      <c r="B26" s="88">
        <v>25</v>
      </c>
      <c r="C26" s="61">
        <v>38</v>
      </c>
      <c r="D26" s="62">
        <v>51</v>
      </c>
      <c r="E26" s="60">
        <v>12</v>
      </c>
      <c r="F26" s="61">
        <v>23</v>
      </c>
      <c r="G26" s="61">
        <v>48</v>
      </c>
      <c r="H26" s="92">
        <v>3</v>
      </c>
      <c r="I26" s="60">
        <v>12</v>
      </c>
      <c r="J26" s="61">
        <v>35</v>
      </c>
      <c r="K26" s="88">
        <v>38</v>
      </c>
      <c r="L26" s="62">
        <v>53</v>
      </c>
      <c r="M26" s="83">
        <v>12</v>
      </c>
      <c r="N26" s="61">
        <v>33</v>
      </c>
      <c r="O26" s="61">
        <v>40</v>
      </c>
      <c r="P26" s="62">
        <v>5</v>
      </c>
    </row>
    <row r="27" spans="1:16" x14ac:dyDescent="0.35">
      <c r="A27" s="94">
        <v>13</v>
      </c>
      <c r="B27" s="95">
        <v>26</v>
      </c>
      <c r="C27" s="55">
        <v>39</v>
      </c>
      <c r="D27" s="56">
        <v>52</v>
      </c>
      <c r="E27" s="75">
        <v>13</v>
      </c>
      <c r="F27" s="76">
        <v>24</v>
      </c>
      <c r="G27" s="76">
        <v>49</v>
      </c>
      <c r="H27" s="98">
        <v>4</v>
      </c>
      <c r="I27" s="49">
        <v>13</v>
      </c>
      <c r="J27" s="50">
        <v>22</v>
      </c>
      <c r="K27" s="96">
        <v>39</v>
      </c>
      <c r="L27" s="51">
        <v>54</v>
      </c>
      <c r="M27" s="100">
        <v>13</v>
      </c>
      <c r="N27" s="76">
        <v>34</v>
      </c>
      <c r="O27" s="76">
        <v>41</v>
      </c>
      <c r="P27" s="77">
        <v>6</v>
      </c>
    </row>
    <row r="28" spans="1:16" x14ac:dyDescent="0.35">
      <c r="A28" s="60">
        <v>14</v>
      </c>
      <c r="B28" s="88">
        <v>27</v>
      </c>
      <c r="C28" s="61">
        <v>40</v>
      </c>
      <c r="D28" s="62">
        <v>53</v>
      </c>
      <c r="E28" s="60">
        <v>14</v>
      </c>
      <c r="F28" s="61">
        <v>25</v>
      </c>
      <c r="G28" s="61">
        <v>36</v>
      </c>
      <c r="H28" s="92">
        <v>5</v>
      </c>
      <c r="I28" s="60">
        <v>14</v>
      </c>
      <c r="J28" s="61">
        <v>23</v>
      </c>
      <c r="K28" s="88">
        <v>40</v>
      </c>
      <c r="L28" s="62">
        <v>55</v>
      </c>
      <c r="M28" s="83">
        <v>14</v>
      </c>
      <c r="N28" s="61">
        <v>35</v>
      </c>
      <c r="O28" s="61">
        <v>42</v>
      </c>
      <c r="P28" s="62">
        <v>7</v>
      </c>
    </row>
    <row r="29" spans="1:16" x14ac:dyDescent="0.35">
      <c r="A29" s="49">
        <v>15</v>
      </c>
      <c r="B29" s="96">
        <v>28</v>
      </c>
      <c r="C29" s="50">
        <v>41</v>
      </c>
      <c r="D29" s="51">
        <v>54</v>
      </c>
      <c r="E29" s="75">
        <v>15</v>
      </c>
      <c r="F29" s="76">
        <v>26</v>
      </c>
      <c r="G29" s="76">
        <v>37</v>
      </c>
      <c r="H29" s="98">
        <v>6</v>
      </c>
      <c r="I29" s="49">
        <v>15</v>
      </c>
      <c r="J29" s="50">
        <v>24</v>
      </c>
      <c r="K29" s="96">
        <v>41</v>
      </c>
      <c r="L29" s="51">
        <v>56</v>
      </c>
      <c r="M29" s="100">
        <v>15</v>
      </c>
      <c r="N29" s="76">
        <v>22</v>
      </c>
      <c r="O29" s="76">
        <v>43</v>
      </c>
      <c r="P29" s="77">
        <v>50</v>
      </c>
    </row>
    <row r="30" spans="1:16" x14ac:dyDescent="0.35">
      <c r="A30" s="60">
        <v>16</v>
      </c>
      <c r="B30" s="88">
        <v>29</v>
      </c>
      <c r="C30" s="61">
        <v>42</v>
      </c>
      <c r="D30" s="62">
        <v>55</v>
      </c>
      <c r="E30" s="60">
        <v>16</v>
      </c>
      <c r="F30" s="61">
        <v>27</v>
      </c>
      <c r="G30" s="61">
        <v>38</v>
      </c>
      <c r="H30" s="92">
        <v>7</v>
      </c>
      <c r="I30" s="60">
        <v>16</v>
      </c>
      <c r="J30" s="61">
        <v>25</v>
      </c>
      <c r="K30" s="88">
        <v>42</v>
      </c>
      <c r="L30" s="62">
        <v>1</v>
      </c>
      <c r="M30" s="83">
        <v>16</v>
      </c>
      <c r="N30" s="61">
        <v>23</v>
      </c>
      <c r="O30" s="61">
        <v>44</v>
      </c>
      <c r="P30" s="62">
        <v>51</v>
      </c>
    </row>
    <row r="31" spans="1:16" x14ac:dyDescent="0.35">
      <c r="A31" s="49">
        <v>17</v>
      </c>
      <c r="B31" s="96">
        <v>30</v>
      </c>
      <c r="C31" s="50">
        <v>43</v>
      </c>
      <c r="D31" s="51">
        <v>56</v>
      </c>
      <c r="E31" s="75">
        <v>17</v>
      </c>
      <c r="F31" s="76">
        <v>28</v>
      </c>
      <c r="G31" s="76">
        <v>39</v>
      </c>
      <c r="H31" s="98">
        <v>50</v>
      </c>
      <c r="I31" s="49">
        <v>17</v>
      </c>
      <c r="J31" s="50">
        <v>26</v>
      </c>
      <c r="K31" s="96">
        <v>43</v>
      </c>
      <c r="L31" s="51">
        <v>2</v>
      </c>
      <c r="M31" s="100">
        <v>17</v>
      </c>
      <c r="N31" s="76">
        <v>24</v>
      </c>
      <c r="O31" s="76">
        <v>45</v>
      </c>
      <c r="P31" s="77">
        <v>52</v>
      </c>
    </row>
    <row r="32" spans="1:16" x14ac:dyDescent="0.35">
      <c r="A32" s="60">
        <v>18</v>
      </c>
      <c r="B32" s="88">
        <v>31</v>
      </c>
      <c r="C32" s="61">
        <v>44</v>
      </c>
      <c r="D32" s="62">
        <v>1</v>
      </c>
      <c r="E32" s="60">
        <v>18</v>
      </c>
      <c r="F32" s="61">
        <v>29</v>
      </c>
      <c r="G32" s="61">
        <v>40</v>
      </c>
      <c r="H32" s="92">
        <v>51</v>
      </c>
      <c r="I32" s="60">
        <v>18</v>
      </c>
      <c r="J32" s="61">
        <v>27</v>
      </c>
      <c r="K32" s="88">
        <v>44</v>
      </c>
      <c r="L32" s="62">
        <v>3</v>
      </c>
      <c r="M32" s="83">
        <v>18</v>
      </c>
      <c r="N32" s="61">
        <v>25</v>
      </c>
      <c r="O32" s="61">
        <v>46</v>
      </c>
      <c r="P32" s="62">
        <v>53</v>
      </c>
    </row>
    <row r="33" spans="1:16" x14ac:dyDescent="0.35">
      <c r="A33" s="49">
        <v>19</v>
      </c>
      <c r="B33" s="96">
        <v>32</v>
      </c>
      <c r="C33" s="50">
        <v>45</v>
      </c>
      <c r="D33" s="51">
        <v>2</v>
      </c>
      <c r="E33" s="75">
        <v>19</v>
      </c>
      <c r="F33" s="76">
        <v>30</v>
      </c>
      <c r="G33" s="76">
        <v>41</v>
      </c>
      <c r="H33" s="98">
        <v>52</v>
      </c>
      <c r="I33" s="49">
        <v>19</v>
      </c>
      <c r="J33" s="50">
        <v>28</v>
      </c>
      <c r="K33" s="96">
        <v>45</v>
      </c>
      <c r="L33" s="51">
        <v>4</v>
      </c>
      <c r="M33" s="100">
        <v>19</v>
      </c>
      <c r="N33" s="76">
        <v>26</v>
      </c>
      <c r="O33" s="76">
        <v>47</v>
      </c>
      <c r="P33" s="77">
        <v>54</v>
      </c>
    </row>
    <row r="34" spans="1:16" x14ac:dyDescent="0.35">
      <c r="A34" s="60">
        <v>20</v>
      </c>
      <c r="B34" s="88">
        <v>33</v>
      </c>
      <c r="C34" s="61">
        <v>46</v>
      </c>
      <c r="D34" s="62">
        <v>3</v>
      </c>
      <c r="E34" s="60">
        <v>20</v>
      </c>
      <c r="F34" s="61">
        <v>31</v>
      </c>
      <c r="G34" s="61">
        <v>42</v>
      </c>
      <c r="H34" s="92">
        <v>53</v>
      </c>
      <c r="I34" s="60">
        <v>20</v>
      </c>
      <c r="J34" s="61">
        <v>29</v>
      </c>
      <c r="K34" s="88">
        <v>46</v>
      </c>
      <c r="L34" s="62">
        <v>5</v>
      </c>
      <c r="M34" s="83">
        <v>20</v>
      </c>
      <c r="N34" s="61">
        <v>27</v>
      </c>
      <c r="O34" s="61">
        <v>48</v>
      </c>
      <c r="P34" s="62">
        <v>55</v>
      </c>
    </row>
    <row r="35" spans="1:16" x14ac:dyDescent="0.35">
      <c r="A35" s="49">
        <v>21</v>
      </c>
      <c r="B35" s="96">
        <v>34</v>
      </c>
      <c r="C35" s="50">
        <v>47</v>
      </c>
      <c r="D35" s="51">
        <v>4</v>
      </c>
      <c r="E35" s="75">
        <v>21</v>
      </c>
      <c r="F35" s="76">
        <v>32</v>
      </c>
      <c r="G35" s="76">
        <v>43</v>
      </c>
      <c r="H35" s="98">
        <v>54</v>
      </c>
      <c r="I35" s="49">
        <v>21</v>
      </c>
      <c r="J35" s="50">
        <v>30</v>
      </c>
      <c r="K35" s="96">
        <v>47</v>
      </c>
      <c r="L35" s="51">
        <v>6</v>
      </c>
      <c r="M35" s="100">
        <v>21</v>
      </c>
      <c r="N35" s="76">
        <v>28</v>
      </c>
      <c r="O35" s="76">
        <v>49</v>
      </c>
      <c r="P35" s="77">
        <v>56</v>
      </c>
    </row>
  </sheetData>
  <mergeCells count="10">
    <mergeCell ref="A21:D21"/>
    <mergeCell ref="E21:H21"/>
    <mergeCell ref="I21:L21"/>
    <mergeCell ref="M21:P21"/>
    <mergeCell ref="A1:P2"/>
    <mergeCell ref="A3:D3"/>
    <mergeCell ref="E3:H3"/>
    <mergeCell ref="I3:L3"/>
    <mergeCell ref="M3:P3"/>
    <mergeCell ref="A19:P20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82"/>
  <sheetViews>
    <sheetView topLeftCell="O1" workbookViewId="0">
      <selection activeCell="W3" sqref="W3:AL16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3</v>
      </c>
      <c r="D1">
        <f>FLOOR(3*$B$2/32,1)</f>
        <v>5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1</v>
      </c>
      <c r="AH1" s="10">
        <v>5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56</v>
      </c>
      <c r="C2">
        <v>4</v>
      </c>
      <c r="D2">
        <v>8</v>
      </c>
      <c r="E2">
        <v>10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6" si="0">MOD($A3-G$1*G$2,$B$2/4)+G$2*$B$2/4+1</f>
        <v>1</v>
      </c>
      <c r="H3" s="64">
        <f t="shared" si="0"/>
        <v>15</v>
      </c>
      <c r="I3" s="64">
        <f t="shared" si="0"/>
        <v>29</v>
      </c>
      <c r="J3" s="65">
        <f t="shared" si="0"/>
        <v>43</v>
      </c>
      <c r="K3" s="63">
        <f t="shared" si="0"/>
        <v>1</v>
      </c>
      <c r="L3" s="64">
        <f t="shared" si="0"/>
        <v>27</v>
      </c>
      <c r="M3" s="64">
        <f t="shared" si="0"/>
        <v>39</v>
      </c>
      <c r="N3" s="65">
        <f t="shared" si="0"/>
        <v>51</v>
      </c>
      <c r="O3" s="63">
        <f t="shared" si="0"/>
        <v>1</v>
      </c>
      <c r="P3" s="64">
        <f t="shared" si="0"/>
        <v>25</v>
      </c>
      <c r="Q3" s="64">
        <f t="shared" si="0"/>
        <v>35</v>
      </c>
      <c r="R3" s="65">
        <f t="shared" si="0"/>
        <v>45</v>
      </c>
      <c r="S3" s="63">
        <f t="shared" si="0"/>
        <v>1</v>
      </c>
      <c r="T3" s="64">
        <f t="shared" si="0"/>
        <v>23</v>
      </c>
      <c r="U3" s="64">
        <f t="shared" si="0"/>
        <v>31</v>
      </c>
      <c r="V3" s="65">
        <f t="shared" si="0"/>
        <v>53</v>
      </c>
      <c r="W3" s="46">
        <f t="shared" ref="W3:AL16" si="1">MOD(MOD($A3-W$1*W$2,$B$2/4)+W$2*$B$2/4+ROUND($B$2/8,0),$B$2)+1</f>
        <v>8</v>
      </c>
      <c r="X3" s="46">
        <f t="shared" si="1"/>
        <v>35</v>
      </c>
      <c r="Y3" s="46">
        <f t="shared" si="1"/>
        <v>48</v>
      </c>
      <c r="Z3" s="46">
        <f t="shared" si="1"/>
        <v>5</v>
      </c>
      <c r="AA3" s="46">
        <f t="shared" si="1"/>
        <v>8</v>
      </c>
      <c r="AB3" s="46">
        <f t="shared" si="1"/>
        <v>33</v>
      </c>
      <c r="AC3" s="46">
        <f t="shared" si="1"/>
        <v>44</v>
      </c>
      <c r="AD3" s="46">
        <f t="shared" si="1"/>
        <v>55</v>
      </c>
      <c r="AE3" s="46">
        <f t="shared" si="1"/>
        <v>8</v>
      </c>
      <c r="AF3" s="46">
        <f t="shared" si="1"/>
        <v>31</v>
      </c>
      <c r="AG3" s="46">
        <f t="shared" si="1"/>
        <v>48</v>
      </c>
      <c r="AH3" s="46">
        <f t="shared" si="1"/>
        <v>7</v>
      </c>
      <c r="AI3" s="46">
        <f t="shared" si="1"/>
        <v>8</v>
      </c>
      <c r="AJ3" s="46">
        <f t="shared" si="1"/>
        <v>29</v>
      </c>
      <c r="AK3" s="46">
        <f t="shared" si="1"/>
        <v>36</v>
      </c>
      <c r="AL3" s="46">
        <f t="shared" si="1"/>
        <v>1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16</v>
      </c>
      <c r="I4" s="40">
        <f t="shared" si="0"/>
        <v>30</v>
      </c>
      <c r="J4" s="66">
        <f t="shared" si="0"/>
        <v>44</v>
      </c>
      <c r="K4" s="43">
        <f t="shared" si="0"/>
        <v>2</v>
      </c>
      <c r="L4" s="40">
        <f t="shared" si="0"/>
        <v>28</v>
      </c>
      <c r="M4" s="40">
        <f t="shared" si="0"/>
        <v>40</v>
      </c>
      <c r="N4" s="66">
        <f t="shared" si="0"/>
        <v>52</v>
      </c>
      <c r="O4" s="43">
        <f t="shared" si="0"/>
        <v>2</v>
      </c>
      <c r="P4" s="40">
        <f t="shared" si="0"/>
        <v>26</v>
      </c>
      <c r="Q4" s="40">
        <f t="shared" si="0"/>
        <v>36</v>
      </c>
      <c r="R4" s="66">
        <f t="shared" si="0"/>
        <v>46</v>
      </c>
      <c r="S4" s="43">
        <f t="shared" si="0"/>
        <v>2</v>
      </c>
      <c r="T4" s="40">
        <f t="shared" si="0"/>
        <v>24</v>
      </c>
      <c r="U4" s="40">
        <f t="shared" si="0"/>
        <v>32</v>
      </c>
      <c r="V4" s="66">
        <f t="shared" si="0"/>
        <v>54</v>
      </c>
      <c r="W4" s="46">
        <f t="shared" si="1"/>
        <v>9</v>
      </c>
      <c r="X4" s="46">
        <f t="shared" si="1"/>
        <v>22</v>
      </c>
      <c r="Y4" s="46">
        <f t="shared" si="1"/>
        <v>49</v>
      </c>
      <c r="Z4" s="46">
        <f t="shared" si="1"/>
        <v>6</v>
      </c>
      <c r="AA4" s="46">
        <f t="shared" si="1"/>
        <v>9</v>
      </c>
      <c r="AB4" s="46">
        <f t="shared" si="1"/>
        <v>34</v>
      </c>
      <c r="AC4" s="46">
        <f t="shared" si="1"/>
        <v>45</v>
      </c>
      <c r="AD4" s="46">
        <f t="shared" si="1"/>
        <v>56</v>
      </c>
      <c r="AE4" s="46">
        <f t="shared" si="1"/>
        <v>9</v>
      </c>
      <c r="AF4" s="46">
        <f t="shared" si="1"/>
        <v>32</v>
      </c>
      <c r="AG4" s="46">
        <f t="shared" si="1"/>
        <v>49</v>
      </c>
      <c r="AH4" s="46">
        <f t="shared" si="1"/>
        <v>50</v>
      </c>
      <c r="AI4" s="46">
        <f t="shared" si="1"/>
        <v>9</v>
      </c>
      <c r="AJ4" s="46">
        <f t="shared" si="1"/>
        <v>30</v>
      </c>
      <c r="AK4" s="46">
        <f t="shared" si="1"/>
        <v>37</v>
      </c>
      <c r="AL4" s="46">
        <f t="shared" si="1"/>
        <v>2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17</v>
      </c>
      <c r="I5" s="40">
        <f t="shared" si="0"/>
        <v>31</v>
      </c>
      <c r="J5" s="66">
        <f t="shared" si="0"/>
        <v>45</v>
      </c>
      <c r="K5" s="43">
        <f t="shared" si="0"/>
        <v>3</v>
      </c>
      <c r="L5" s="40">
        <f t="shared" si="0"/>
        <v>15</v>
      </c>
      <c r="M5" s="40">
        <f t="shared" si="0"/>
        <v>41</v>
      </c>
      <c r="N5" s="66">
        <f t="shared" si="0"/>
        <v>53</v>
      </c>
      <c r="O5" s="43">
        <f t="shared" si="0"/>
        <v>3</v>
      </c>
      <c r="P5" s="40">
        <f t="shared" si="0"/>
        <v>27</v>
      </c>
      <c r="Q5" s="40">
        <f t="shared" si="0"/>
        <v>37</v>
      </c>
      <c r="R5" s="66">
        <f t="shared" si="0"/>
        <v>47</v>
      </c>
      <c r="S5" s="43">
        <f t="shared" si="0"/>
        <v>3</v>
      </c>
      <c r="T5" s="40">
        <f t="shared" si="0"/>
        <v>25</v>
      </c>
      <c r="U5" s="40">
        <f t="shared" si="0"/>
        <v>33</v>
      </c>
      <c r="V5" s="66">
        <f t="shared" si="0"/>
        <v>55</v>
      </c>
      <c r="W5" s="46">
        <f t="shared" si="1"/>
        <v>10</v>
      </c>
      <c r="X5" s="46">
        <f t="shared" si="1"/>
        <v>23</v>
      </c>
      <c r="Y5" s="46">
        <f t="shared" si="1"/>
        <v>36</v>
      </c>
      <c r="Z5" s="46">
        <f t="shared" si="1"/>
        <v>7</v>
      </c>
      <c r="AA5" s="46">
        <f t="shared" si="1"/>
        <v>10</v>
      </c>
      <c r="AB5" s="46">
        <f t="shared" si="1"/>
        <v>35</v>
      </c>
      <c r="AC5" s="46">
        <f t="shared" si="1"/>
        <v>46</v>
      </c>
      <c r="AD5" s="46">
        <f t="shared" si="1"/>
        <v>1</v>
      </c>
      <c r="AE5" s="46">
        <f t="shared" si="1"/>
        <v>10</v>
      </c>
      <c r="AF5" s="46">
        <f t="shared" si="1"/>
        <v>33</v>
      </c>
      <c r="AG5" s="46">
        <f t="shared" si="1"/>
        <v>36</v>
      </c>
      <c r="AH5" s="46">
        <f t="shared" si="1"/>
        <v>51</v>
      </c>
      <c r="AI5" s="46">
        <f t="shared" si="1"/>
        <v>10</v>
      </c>
      <c r="AJ5" s="46">
        <f t="shared" si="1"/>
        <v>31</v>
      </c>
      <c r="AK5" s="46">
        <f t="shared" si="1"/>
        <v>38</v>
      </c>
      <c r="AL5" s="46">
        <f t="shared" si="1"/>
        <v>3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18</v>
      </c>
      <c r="I6" s="40">
        <f t="shared" si="0"/>
        <v>32</v>
      </c>
      <c r="J6" s="66">
        <f t="shared" si="0"/>
        <v>46</v>
      </c>
      <c r="K6" s="43">
        <f t="shared" si="0"/>
        <v>4</v>
      </c>
      <c r="L6" s="40">
        <f t="shared" si="0"/>
        <v>16</v>
      </c>
      <c r="M6" s="40">
        <f t="shared" si="0"/>
        <v>42</v>
      </c>
      <c r="N6" s="66">
        <f t="shared" si="0"/>
        <v>54</v>
      </c>
      <c r="O6" s="43">
        <f t="shared" si="0"/>
        <v>4</v>
      </c>
      <c r="P6" s="40">
        <f t="shared" si="0"/>
        <v>28</v>
      </c>
      <c r="Q6" s="40">
        <f t="shared" si="0"/>
        <v>38</v>
      </c>
      <c r="R6" s="66">
        <f t="shared" si="0"/>
        <v>48</v>
      </c>
      <c r="S6" s="43">
        <f t="shared" si="0"/>
        <v>4</v>
      </c>
      <c r="T6" s="40">
        <f t="shared" si="0"/>
        <v>26</v>
      </c>
      <c r="U6" s="40">
        <f t="shared" si="0"/>
        <v>34</v>
      </c>
      <c r="V6" s="66">
        <f t="shared" si="0"/>
        <v>56</v>
      </c>
      <c r="W6" s="46">
        <f t="shared" si="1"/>
        <v>11</v>
      </c>
      <c r="X6" s="46">
        <f t="shared" si="1"/>
        <v>24</v>
      </c>
      <c r="Y6" s="46">
        <f t="shared" si="1"/>
        <v>37</v>
      </c>
      <c r="Z6" s="46">
        <f t="shared" si="1"/>
        <v>50</v>
      </c>
      <c r="AA6" s="46">
        <f t="shared" si="1"/>
        <v>11</v>
      </c>
      <c r="AB6" s="46">
        <f t="shared" si="1"/>
        <v>22</v>
      </c>
      <c r="AC6" s="46">
        <f t="shared" si="1"/>
        <v>47</v>
      </c>
      <c r="AD6" s="46">
        <f t="shared" si="1"/>
        <v>2</v>
      </c>
      <c r="AE6" s="46">
        <f t="shared" si="1"/>
        <v>11</v>
      </c>
      <c r="AF6" s="46">
        <f t="shared" si="1"/>
        <v>34</v>
      </c>
      <c r="AG6" s="46">
        <f t="shared" si="1"/>
        <v>37</v>
      </c>
      <c r="AH6" s="46">
        <f t="shared" si="1"/>
        <v>52</v>
      </c>
      <c r="AI6" s="46">
        <f t="shared" si="1"/>
        <v>11</v>
      </c>
      <c r="AJ6" s="46">
        <f t="shared" si="1"/>
        <v>32</v>
      </c>
      <c r="AK6" s="46">
        <f t="shared" si="1"/>
        <v>39</v>
      </c>
      <c r="AL6" s="46">
        <f t="shared" si="1"/>
        <v>4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19</v>
      </c>
      <c r="I7" s="40">
        <f t="shared" si="0"/>
        <v>33</v>
      </c>
      <c r="J7" s="66">
        <f t="shared" si="0"/>
        <v>47</v>
      </c>
      <c r="K7" s="43">
        <f t="shared" si="0"/>
        <v>5</v>
      </c>
      <c r="L7" s="40">
        <f t="shared" si="0"/>
        <v>17</v>
      </c>
      <c r="M7" s="40">
        <f t="shared" si="0"/>
        <v>29</v>
      </c>
      <c r="N7" s="66">
        <f t="shared" si="0"/>
        <v>55</v>
      </c>
      <c r="O7" s="43">
        <f t="shared" si="0"/>
        <v>5</v>
      </c>
      <c r="P7" s="40">
        <f t="shared" si="0"/>
        <v>15</v>
      </c>
      <c r="Q7" s="40">
        <f t="shared" si="0"/>
        <v>39</v>
      </c>
      <c r="R7" s="66">
        <f t="shared" si="0"/>
        <v>49</v>
      </c>
      <c r="S7" s="43">
        <f t="shared" si="0"/>
        <v>5</v>
      </c>
      <c r="T7" s="40">
        <f t="shared" si="0"/>
        <v>27</v>
      </c>
      <c r="U7" s="40">
        <f t="shared" si="0"/>
        <v>35</v>
      </c>
      <c r="V7" s="66">
        <f t="shared" si="0"/>
        <v>43</v>
      </c>
      <c r="W7" s="46">
        <f t="shared" si="1"/>
        <v>12</v>
      </c>
      <c r="X7" s="46">
        <f t="shared" si="1"/>
        <v>25</v>
      </c>
      <c r="Y7" s="46">
        <f t="shared" si="1"/>
        <v>38</v>
      </c>
      <c r="Z7" s="46">
        <f t="shared" si="1"/>
        <v>51</v>
      </c>
      <c r="AA7" s="46">
        <f t="shared" si="1"/>
        <v>12</v>
      </c>
      <c r="AB7" s="46">
        <f t="shared" si="1"/>
        <v>23</v>
      </c>
      <c r="AC7" s="46">
        <f t="shared" si="1"/>
        <v>48</v>
      </c>
      <c r="AD7" s="46">
        <f t="shared" si="1"/>
        <v>3</v>
      </c>
      <c r="AE7" s="46">
        <f t="shared" si="1"/>
        <v>12</v>
      </c>
      <c r="AF7" s="46">
        <f t="shared" si="1"/>
        <v>35</v>
      </c>
      <c r="AG7" s="46">
        <f t="shared" si="1"/>
        <v>38</v>
      </c>
      <c r="AH7" s="46">
        <f t="shared" si="1"/>
        <v>53</v>
      </c>
      <c r="AI7" s="46">
        <f t="shared" si="1"/>
        <v>12</v>
      </c>
      <c r="AJ7" s="46">
        <f t="shared" si="1"/>
        <v>33</v>
      </c>
      <c r="AK7" s="46">
        <f t="shared" si="1"/>
        <v>40</v>
      </c>
      <c r="AL7" s="46">
        <f t="shared" si="1"/>
        <v>5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20</v>
      </c>
      <c r="I8" s="40">
        <f t="shared" si="0"/>
        <v>34</v>
      </c>
      <c r="J8" s="66">
        <f t="shared" si="0"/>
        <v>48</v>
      </c>
      <c r="K8" s="43">
        <f t="shared" si="0"/>
        <v>6</v>
      </c>
      <c r="L8" s="40">
        <f t="shared" si="0"/>
        <v>18</v>
      </c>
      <c r="M8" s="40">
        <f t="shared" si="0"/>
        <v>30</v>
      </c>
      <c r="N8" s="66">
        <f t="shared" si="0"/>
        <v>56</v>
      </c>
      <c r="O8" s="43">
        <f t="shared" si="0"/>
        <v>6</v>
      </c>
      <c r="P8" s="40">
        <f t="shared" si="0"/>
        <v>16</v>
      </c>
      <c r="Q8" s="40">
        <f t="shared" si="0"/>
        <v>40</v>
      </c>
      <c r="R8" s="66">
        <f t="shared" si="0"/>
        <v>50</v>
      </c>
      <c r="S8" s="43">
        <f t="shared" si="0"/>
        <v>6</v>
      </c>
      <c r="T8" s="40">
        <f t="shared" si="0"/>
        <v>28</v>
      </c>
      <c r="U8" s="40">
        <f t="shared" si="0"/>
        <v>36</v>
      </c>
      <c r="V8" s="66">
        <f t="shared" si="0"/>
        <v>44</v>
      </c>
      <c r="W8" s="46">
        <f t="shared" si="1"/>
        <v>13</v>
      </c>
      <c r="X8" s="46">
        <f t="shared" si="1"/>
        <v>26</v>
      </c>
      <c r="Y8" s="46">
        <f t="shared" si="1"/>
        <v>39</v>
      </c>
      <c r="Z8" s="46">
        <f t="shared" si="1"/>
        <v>52</v>
      </c>
      <c r="AA8" s="46">
        <f t="shared" si="1"/>
        <v>13</v>
      </c>
      <c r="AB8" s="46">
        <f t="shared" si="1"/>
        <v>24</v>
      </c>
      <c r="AC8" s="46">
        <f t="shared" si="1"/>
        <v>49</v>
      </c>
      <c r="AD8" s="46">
        <f t="shared" si="1"/>
        <v>4</v>
      </c>
      <c r="AE8" s="46">
        <f t="shared" si="1"/>
        <v>13</v>
      </c>
      <c r="AF8" s="46">
        <f t="shared" si="1"/>
        <v>22</v>
      </c>
      <c r="AG8" s="46">
        <f t="shared" si="1"/>
        <v>39</v>
      </c>
      <c r="AH8" s="46">
        <f t="shared" si="1"/>
        <v>54</v>
      </c>
      <c r="AI8" s="46">
        <f t="shared" si="1"/>
        <v>13</v>
      </c>
      <c r="AJ8" s="46">
        <f t="shared" si="1"/>
        <v>34</v>
      </c>
      <c r="AK8" s="46">
        <f t="shared" si="1"/>
        <v>41</v>
      </c>
      <c r="AL8" s="46">
        <f t="shared" si="1"/>
        <v>6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21</v>
      </c>
      <c r="I9" s="40">
        <f t="shared" si="0"/>
        <v>35</v>
      </c>
      <c r="J9" s="66">
        <f t="shared" si="0"/>
        <v>49</v>
      </c>
      <c r="K9" s="43">
        <f t="shared" si="0"/>
        <v>7</v>
      </c>
      <c r="L9" s="40">
        <f t="shared" si="0"/>
        <v>19</v>
      </c>
      <c r="M9" s="40">
        <f t="shared" si="0"/>
        <v>31</v>
      </c>
      <c r="N9" s="66">
        <f t="shared" si="0"/>
        <v>43</v>
      </c>
      <c r="O9" s="43">
        <f t="shared" si="0"/>
        <v>7</v>
      </c>
      <c r="P9" s="40">
        <f t="shared" si="0"/>
        <v>17</v>
      </c>
      <c r="Q9" s="40">
        <f t="shared" si="0"/>
        <v>41</v>
      </c>
      <c r="R9" s="66">
        <f t="shared" si="0"/>
        <v>51</v>
      </c>
      <c r="S9" s="43">
        <f t="shared" si="0"/>
        <v>7</v>
      </c>
      <c r="T9" s="40">
        <f t="shared" si="0"/>
        <v>15</v>
      </c>
      <c r="U9" s="40">
        <f t="shared" si="0"/>
        <v>37</v>
      </c>
      <c r="V9" s="66">
        <f t="shared" si="0"/>
        <v>45</v>
      </c>
      <c r="W9" s="46">
        <f t="shared" si="1"/>
        <v>14</v>
      </c>
      <c r="X9" s="46">
        <f t="shared" si="1"/>
        <v>27</v>
      </c>
      <c r="Y9" s="46">
        <f t="shared" si="1"/>
        <v>40</v>
      </c>
      <c r="Z9" s="46">
        <f t="shared" si="1"/>
        <v>53</v>
      </c>
      <c r="AA9" s="46">
        <f t="shared" si="1"/>
        <v>14</v>
      </c>
      <c r="AB9" s="46">
        <f t="shared" si="1"/>
        <v>25</v>
      </c>
      <c r="AC9" s="46">
        <f t="shared" si="1"/>
        <v>36</v>
      </c>
      <c r="AD9" s="46">
        <f t="shared" si="1"/>
        <v>5</v>
      </c>
      <c r="AE9" s="46">
        <f t="shared" si="1"/>
        <v>14</v>
      </c>
      <c r="AF9" s="46">
        <f t="shared" si="1"/>
        <v>23</v>
      </c>
      <c r="AG9" s="46">
        <f t="shared" si="1"/>
        <v>40</v>
      </c>
      <c r="AH9" s="46">
        <f t="shared" si="1"/>
        <v>55</v>
      </c>
      <c r="AI9" s="46">
        <f t="shared" si="1"/>
        <v>14</v>
      </c>
      <c r="AJ9" s="46">
        <f t="shared" si="1"/>
        <v>35</v>
      </c>
      <c r="AK9" s="46">
        <f t="shared" si="1"/>
        <v>42</v>
      </c>
      <c r="AL9" s="46">
        <f t="shared" si="1"/>
        <v>7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22</v>
      </c>
      <c r="I10" s="40">
        <f t="shared" si="0"/>
        <v>36</v>
      </c>
      <c r="J10" s="66">
        <f t="shared" si="0"/>
        <v>50</v>
      </c>
      <c r="K10" s="43">
        <f t="shared" si="0"/>
        <v>8</v>
      </c>
      <c r="L10" s="40">
        <f t="shared" si="0"/>
        <v>20</v>
      </c>
      <c r="M10" s="40">
        <f t="shared" si="0"/>
        <v>32</v>
      </c>
      <c r="N10" s="66">
        <f t="shared" si="0"/>
        <v>44</v>
      </c>
      <c r="O10" s="43">
        <f t="shared" si="0"/>
        <v>8</v>
      </c>
      <c r="P10" s="40">
        <f t="shared" si="0"/>
        <v>18</v>
      </c>
      <c r="Q10" s="40">
        <f t="shared" si="0"/>
        <v>42</v>
      </c>
      <c r="R10" s="66">
        <f t="shared" si="0"/>
        <v>52</v>
      </c>
      <c r="S10" s="43">
        <f t="shared" si="0"/>
        <v>8</v>
      </c>
      <c r="T10" s="40">
        <f t="shared" si="0"/>
        <v>16</v>
      </c>
      <c r="U10" s="40">
        <f t="shared" si="0"/>
        <v>38</v>
      </c>
      <c r="V10" s="66">
        <f t="shared" si="0"/>
        <v>46</v>
      </c>
      <c r="W10" s="46">
        <f t="shared" si="1"/>
        <v>15</v>
      </c>
      <c r="X10" s="46">
        <f t="shared" si="1"/>
        <v>28</v>
      </c>
      <c r="Y10" s="46">
        <f t="shared" si="1"/>
        <v>41</v>
      </c>
      <c r="Z10" s="46">
        <f t="shared" si="1"/>
        <v>54</v>
      </c>
      <c r="AA10" s="46">
        <f t="shared" si="1"/>
        <v>15</v>
      </c>
      <c r="AB10" s="46">
        <f t="shared" si="1"/>
        <v>26</v>
      </c>
      <c r="AC10" s="46">
        <f t="shared" si="1"/>
        <v>37</v>
      </c>
      <c r="AD10" s="46">
        <f t="shared" si="1"/>
        <v>6</v>
      </c>
      <c r="AE10" s="46">
        <f t="shared" si="1"/>
        <v>15</v>
      </c>
      <c r="AF10" s="46">
        <f t="shared" si="1"/>
        <v>24</v>
      </c>
      <c r="AG10" s="46">
        <f t="shared" si="1"/>
        <v>41</v>
      </c>
      <c r="AH10" s="46">
        <f t="shared" si="1"/>
        <v>56</v>
      </c>
      <c r="AI10" s="46">
        <f t="shared" si="1"/>
        <v>15</v>
      </c>
      <c r="AJ10" s="46">
        <f t="shared" si="1"/>
        <v>22</v>
      </c>
      <c r="AK10" s="46">
        <f t="shared" si="1"/>
        <v>43</v>
      </c>
      <c r="AL10" s="46">
        <f t="shared" si="1"/>
        <v>50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23</v>
      </c>
      <c r="I11" s="40">
        <f t="shared" si="0"/>
        <v>37</v>
      </c>
      <c r="J11" s="66">
        <f t="shared" si="0"/>
        <v>51</v>
      </c>
      <c r="K11" s="43">
        <f t="shared" si="0"/>
        <v>9</v>
      </c>
      <c r="L11" s="40">
        <f t="shared" si="0"/>
        <v>21</v>
      </c>
      <c r="M11" s="40">
        <f t="shared" si="0"/>
        <v>33</v>
      </c>
      <c r="N11" s="66">
        <f t="shared" si="0"/>
        <v>45</v>
      </c>
      <c r="O11" s="43">
        <f t="shared" si="0"/>
        <v>9</v>
      </c>
      <c r="P11" s="40">
        <f t="shared" si="0"/>
        <v>19</v>
      </c>
      <c r="Q11" s="40">
        <f t="shared" si="0"/>
        <v>29</v>
      </c>
      <c r="R11" s="66">
        <f t="shared" si="0"/>
        <v>53</v>
      </c>
      <c r="S11" s="43">
        <f t="shared" si="0"/>
        <v>9</v>
      </c>
      <c r="T11" s="40">
        <f t="shared" si="0"/>
        <v>17</v>
      </c>
      <c r="U11" s="40">
        <f t="shared" si="0"/>
        <v>39</v>
      </c>
      <c r="V11" s="66">
        <f t="shared" si="0"/>
        <v>47</v>
      </c>
      <c r="W11" s="46">
        <f t="shared" si="1"/>
        <v>16</v>
      </c>
      <c r="X11" s="46">
        <f t="shared" si="1"/>
        <v>29</v>
      </c>
      <c r="Y11" s="46">
        <f t="shared" si="1"/>
        <v>42</v>
      </c>
      <c r="Z11" s="46">
        <f t="shared" si="1"/>
        <v>55</v>
      </c>
      <c r="AA11" s="46">
        <f t="shared" si="1"/>
        <v>16</v>
      </c>
      <c r="AB11" s="46">
        <f t="shared" si="1"/>
        <v>27</v>
      </c>
      <c r="AC11" s="46">
        <f t="shared" si="1"/>
        <v>38</v>
      </c>
      <c r="AD11" s="46">
        <f t="shared" si="1"/>
        <v>7</v>
      </c>
      <c r="AE11" s="46">
        <f t="shared" si="1"/>
        <v>16</v>
      </c>
      <c r="AF11" s="46">
        <f t="shared" si="1"/>
        <v>25</v>
      </c>
      <c r="AG11" s="46">
        <f t="shared" si="1"/>
        <v>42</v>
      </c>
      <c r="AH11" s="46">
        <f t="shared" si="1"/>
        <v>1</v>
      </c>
      <c r="AI11" s="46">
        <f t="shared" si="1"/>
        <v>16</v>
      </c>
      <c r="AJ11" s="46">
        <f t="shared" si="1"/>
        <v>23</v>
      </c>
      <c r="AK11" s="46">
        <f t="shared" si="1"/>
        <v>44</v>
      </c>
      <c r="AL11" s="46">
        <f t="shared" si="1"/>
        <v>51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24</v>
      </c>
      <c r="I12" s="40">
        <f t="shared" si="0"/>
        <v>38</v>
      </c>
      <c r="J12" s="66">
        <f t="shared" si="0"/>
        <v>52</v>
      </c>
      <c r="K12" s="43">
        <f t="shared" si="0"/>
        <v>10</v>
      </c>
      <c r="L12" s="40">
        <f t="shared" si="0"/>
        <v>22</v>
      </c>
      <c r="M12" s="40">
        <f t="shared" si="0"/>
        <v>34</v>
      </c>
      <c r="N12" s="66">
        <f t="shared" si="0"/>
        <v>46</v>
      </c>
      <c r="O12" s="43">
        <f t="shared" si="0"/>
        <v>10</v>
      </c>
      <c r="P12" s="40">
        <f t="shared" si="0"/>
        <v>20</v>
      </c>
      <c r="Q12" s="40">
        <f t="shared" si="0"/>
        <v>30</v>
      </c>
      <c r="R12" s="66">
        <f t="shared" si="0"/>
        <v>54</v>
      </c>
      <c r="S12" s="43">
        <f t="shared" si="0"/>
        <v>10</v>
      </c>
      <c r="T12" s="40">
        <f t="shared" si="0"/>
        <v>18</v>
      </c>
      <c r="U12" s="40">
        <f t="shared" si="0"/>
        <v>40</v>
      </c>
      <c r="V12" s="66">
        <f t="shared" si="0"/>
        <v>48</v>
      </c>
      <c r="W12" s="46">
        <f t="shared" si="1"/>
        <v>17</v>
      </c>
      <c r="X12" s="46">
        <f t="shared" si="1"/>
        <v>30</v>
      </c>
      <c r="Y12" s="46">
        <f t="shared" si="1"/>
        <v>43</v>
      </c>
      <c r="Z12" s="46">
        <f t="shared" si="1"/>
        <v>56</v>
      </c>
      <c r="AA12" s="46">
        <f t="shared" si="1"/>
        <v>17</v>
      </c>
      <c r="AB12" s="46">
        <f t="shared" si="1"/>
        <v>28</v>
      </c>
      <c r="AC12" s="46">
        <f t="shared" si="1"/>
        <v>39</v>
      </c>
      <c r="AD12" s="46">
        <f t="shared" si="1"/>
        <v>50</v>
      </c>
      <c r="AE12" s="46">
        <f t="shared" si="1"/>
        <v>17</v>
      </c>
      <c r="AF12" s="46">
        <f t="shared" si="1"/>
        <v>26</v>
      </c>
      <c r="AG12" s="46">
        <f t="shared" si="1"/>
        <v>43</v>
      </c>
      <c r="AH12" s="46">
        <f t="shared" si="1"/>
        <v>2</v>
      </c>
      <c r="AI12" s="46">
        <f t="shared" si="1"/>
        <v>17</v>
      </c>
      <c r="AJ12" s="46">
        <f t="shared" si="1"/>
        <v>24</v>
      </c>
      <c r="AK12" s="46">
        <f t="shared" si="1"/>
        <v>45</v>
      </c>
      <c r="AL12" s="46">
        <f t="shared" si="1"/>
        <v>52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25</v>
      </c>
      <c r="I13" s="40">
        <f t="shared" si="0"/>
        <v>39</v>
      </c>
      <c r="J13" s="66">
        <f t="shared" si="0"/>
        <v>53</v>
      </c>
      <c r="K13" s="43">
        <f t="shared" si="0"/>
        <v>11</v>
      </c>
      <c r="L13" s="40">
        <f t="shared" si="0"/>
        <v>23</v>
      </c>
      <c r="M13" s="40">
        <f t="shared" si="0"/>
        <v>35</v>
      </c>
      <c r="N13" s="66">
        <f t="shared" si="0"/>
        <v>47</v>
      </c>
      <c r="O13" s="43">
        <f t="shared" si="0"/>
        <v>11</v>
      </c>
      <c r="P13" s="40">
        <f t="shared" si="0"/>
        <v>21</v>
      </c>
      <c r="Q13" s="40">
        <f t="shared" si="0"/>
        <v>31</v>
      </c>
      <c r="R13" s="66">
        <f t="shared" si="0"/>
        <v>55</v>
      </c>
      <c r="S13" s="43">
        <f t="shared" si="0"/>
        <v>11</v>
      </c>
      <c r="T13" s="40">
        <f t="shared" si="0"/>
        <v>19</v>
      </c>
      <c r="U13" s="40">
        <f t="shared" si="0"/>
        <v>41</v>
      </c>
      <c r="V13" s="66">
        <f t="shared" si="0"/>
        <v>49</v>
      </c>
      <c r="W13" s="46">
        <f t="shared" si="1"/>
        <v>18</v>
      </c>
      <c r="X13" s="46">
        <f t="shared" si="1"/>
        <v>31</v>
      </c>
      <c r="Y13" s="46">
        <f t="shared" si="1"/>
        <v>44</v>
      </c>
      <c r="Z13" s="46">
        <f t="shared" si="1"/>
        <v>1</v>
      </c>
      <c r="AA13" s="46">
        <f t="shared" si="1"/>
        <v>18</v>
      </c>
      <c r="AB13" s="46">
        <f t="shared" si="1"/>
        <v>29</v>
      </c>
      <c r="AC13" s="46">
        <f t="shared" si="1"/>
        <v>40</v>
      </c>
      <c r="AD13" s="46">
        <f t="shared" si="1"/>
        <v>51</v>
      </c>
      <c r="AE13" s="46">
        <f t="shared" si="1"/>
        <v>18</v>
      </c>
      <c r="AF13" s="46">
        <f t="shared" si="1"/>
        <v>27</v>
      </c>
      <c r="AG13" s="46">
        <f t="shared" si="1"/>
        <v>44</v>
      </c>
      <c r="AH13" s="46">
        <f t="shared" si="1"/>
        <v>3</v>
      </c>
      <c r="AI13" s="46">
        <f t="shared" si="1"/>
        <v>18</v>
      </c>
      <c r="AJ13" s="46">
        <f t="shared" si="1"/>
        <v>25</v>
      </c>
      <c r="AK13" s="46">
        <f t="shared" si="1"/>
        <v>46</v>
      </c>
      <c r="AL13" s="46">
        <f t="shared" si="1"/>
        <v>53</v>
      </c>
    </row>
    <row r="14" spans="1:38" x14ac:dyDescent="0.35">
      <c r="A14" s="18">
        <v>11</v>
      </c>
      <c r="B14" s="19" t="s">
        <v>18</v>
      </c>
      <c r="D14">
        <f>$B$2/$C$2-$E$2/2+1</f>
        <v>10</v>
      </c>
      <c r="E14">
        <f>$B$2/$C$2+$E$2/2</f>
        <v>19</v>
      </c>
      <c r="G14" s="43">
        <f t="shared" si="0"/>
        <v>12</v>
      </c>
      <c r="H14" s="40">
        <f t="shared" si="0"/>
        <v>26</v>
      </c>
      <c r="I14" s="40">
        <f t="shared" si="0"/>
        <v>40</v>
      </c>
      <c r="J14" s="66">
        <f t="shared" si="0"/>
        <v>54</v>
      </c>
      <c r="K14" s="43">
        <f t="shared" si="0"/>
        <v>12</v>
      </c>
      <c r="L14" s="40">
        <f t="shared" si="0"/>
        <v>24</v>
      </c>
      <c r="M14" s="40">
        <f t="shared" si="0"/>
        <v>36</v>
      </c>
      <c r="N14" s="66">
        <f t="shared" si="0"/>
        <v>48</v>
      </c>
      <c r="O14" s="43">
        <f t="shared" si="0"/>
        <v>12</v>
      </c>
      <c r="P14" s="40">
        <f t="shared" si="0"/>
        <v>22</v>
      </c>
      <c r="Q14" s="40">
        <f t="shared" si="0"/>
        <v>32</v>
      </c>
      <c r="R14" s="66">
        <f t="shared" si="0"/>
        <v>56</v>
      </c>
      <c r="S14" s="43">
        <f t="shared" si="0"/>
        <v>12</v>
      </c>
      <c r="T14" s="40">
        <f t="shared" si="0"/>
        <v>20</v>
      </c>
      <c r="U14" s="40">
        <f t="shared" si="0"/>
        <v>42</v>
      </c>
      <c r="V14" s="66">
        <f t="shared" si="0"/>
        <v>50</v>
      </c>
      <c r="W14" s="46">
        <f t="shared" si="1"/>
        <v>19</v>
      </c>
      <c r="X14" s="46">
        <f t="shared" si="1"/>
        <v>32</v>
      </c>
      <c r="Y14" s="46">
        <f t="shared" si="1"/>
        <v>45</v>
      </c>
      <c r="Z14" s="46">
        <f t="shared" si="1"/>
        <v>2</v>
      </c>
      <c r="AA14" s="46">
        <f t="shared" si="1"/>
        <v>19</v>
      </c>
      <c r="AB14" s="46">
        <f t="shared" si="1"/>
        <v>30</v>
      </c>
      <c r="AC14" s="46">
        <f t="shared" si="1"/>
        <v>41</v>
      </c>
      <c r="AD14" s="46">
        <f t="shared" si="1"/>
        <v>52</v>
      </c>
      <c r="AE14" s="46">
        <f t="shared" si="1"/>
        <v>19</v>
      </c>
      <c r="AF14" s="46">
        <f t="shared" si="1"/>
        <v>28</v>
      </c>
      <c r="AG14" s="46">
        <f t="shared" si="1"/>
        <v>45</v>
      </c>
      <c r="AH14" s="46">
        <f t="shared" si="1"/>
        <v>4</v>
      </c>
      <c r="AI14" s="46">
        <f t="shared" si="1"/>
        <v>19</v>
      </c>
      <c r="AJ14" s="46">
        <f t="shared" si="1"/>
        <v>26</v>
      </c>
      <c r="AK14" s="46">
        <f t="shared" si="1"/>
        <v>47</v>
      </c>
      <c r="AL14" s="46">
        <f t="shared" si="1"/>
        <v>54</v>
      </c>
    </row>
    <row r="15" spans="1:38" x14ac:dyDescent="0.35">
      <c r="A15" s="18">
        <v>12</v>
      </c>
      <c r="B15" s="19" t="s">
        <v>18</v>
      </c>
      <c r="D15">
        <f>2*$B$2/$C$2-$E$2/2+1</f>
        <v>24</v>
      </c>
      <c r="E15">
        <f>2*$B$2/$C$2+$E$2/2</f>
        <v>33</v>
      </c>
      <c r="G15" s="43">
        <f t="shared" si="0"/>
        <v>13</v>
      </c>
      <c r="H15" s="40">
        <f t="shared" si="0"/>
        <v>27</v>
      </c>
      <c r="I15" s="40">
        <f t="shared" si="0"/>
        <v>41</v>
      </c>
      <c r="J15" s="66">
        <f t="shared" si="0"/>
        <v>55</v>
      </c>
      <c r="K15" s="43">
        <f t="shared" si="0"/>
        <v>13</v>
      </c>
      <c r="L15" s="40">
        <f t="shared" si="0"/>
        <v>25</v>
      </c>
      <c r="M15" s="40">
        <f t="shared" si="0"/>
        <v>37</v>
      </c>
      <c r="N15" s="66">
        <f t="shared" si="0"/>
        <v>49</v>
      </c>
      <c r="O15" s="43">
        <f t="shared" si="0"/>
        <v>13</v>
      </c>
      <c r="P15" s="40">
        <f t="shared" si="0"/>
        <v>23</v>
      </c>
      <c r="Q15" s="40">
        <f t="shared" si="0"/>
        <v>33</v>
      </c>
      <c r="R15" s="66">
        <f t="shared" si="0"/>
        <v>43</v>
      </c>
      <c r="S15" s="43">
        <f t="shared" si="0"/>
        <v>13</v>
      </c>
      <c r="T15" s="40">
        <f t="shared" si="0"/>
        <v>21</v>
      </c>
      <c r="U15" s="40">
        <f t="shared" si="0"/>
        <v>29</v>
      </c>
      <c r="V15" s="66">
        <f t="shared" si="0"/>
        <v>51</v>
      </c>
      <c r="W15" s="46">
        <f t="shared" si="1"/>
        <v>20</v>
      </c>
      <c r="X15" s="46">
        <f t="shared" si="1"/>
        <v>33</v>
      </c>
      <c r="Y15" s="46">
        <f t="shared" si="1"/>
        <v>46</v>
      </c>
      <c r="Z15" s="46">
        <f t="shared" si="1"/>
        <v>3</v>
      </c>
      <c r="AA15" s="46">
        <f t="shared" si="1"/>
        <v>20</v>
      </c>
      <c r="AB15" s="46">
        <f t="shared" si="1"/>
        <v>31</v>
      </c>
      <c r="AC15" s="46">
        <f t="shared" si="1"/>
        <v>42</v>
      </c>
      <c r="AD15" s="46">
        <f t="shared" si="1"/>
        <v>53</v>
      </c>
      <c r="AE15" s="46">
        <f t="shared" si="1"/>
        <v>20</v>
      </c>
      <c r="AF15" s="46">
        <f t="shared" si="1"/>
        <v>29</v>
      </c>
      <c r="AG15" s="46">
        <f t="shared" si="1"/>
        <v>46</v>
      </c>
      <c r="AH15" s="46">
        <f t="shared" si="1"/>
        <v>5</v>
      </c>
      <c r="AI15" s="46">
        <f t="shared" si="1"/>
        <v>20</v>
      </c>
      <c r="AJ15" s="46">
        <f t="shared" si="1"/>
        <v>27</v>
      </c>
      <c r="AK15" s="46">
        <f t="shared" si="1"/>
        <v>48</v>
      </c>
      <c r="AL15" s="46">
        <f t="shared" si="1"/>
        <v>55</v>
      </c>
    </row>
    <row r="16" spans="1:38" x14ac:dyDescent="0.35">
      <c r="A16" s="18">
        <v>13</v>
      </c>
      <c r="B16" s="19" t="s">
        <v>18</v>
      </c>
      <c r="D16">
        <f>3*$B$2/$C$2-$E$2/2+1</f>
        <v>38</v>
      </c>
      <c r="E16">
        <f>3*$B$2/$C$2+$E$2/2</f>
        <v>47</v>
      </c>
      <c r="G16" s="43">
        <f t="shared" si="0"/>
        <v>14</v>
      </c>
      <c r="H16" s="40">
        <f t="shared" si="0"/>
        <v>28</v>
      </c>
      <c r="I16" s="40">
        <f t="shared" si="0"/>
        <v>42</v>
      </c>
      <c r="J16" s="66">
        <f t="shared" si="0"/>
        <v>56</v>
      </c>
      <c r="K16" s="43">
        <f t="shared" si="0"/>
        <v>14</v>
      </c>
      <c r="L16" s="40">
        <f t="shared" si="0"/>
        <v>26</v>
      </c>
      <c r="M16" s="40">
        <f t="shared" si="0"/>
        <v>38</v>
      </c>
      <c r="N16" s="66">
        <f t="shared" si="0"/>
        <v>50</v>
      </c>
      <c r="O16" s="43">
        <f t="shared" si="0"/>
        <v>14</v>
      </c>
      <c r="P16" s="40">
        <f t="shared" si="0"/>
        <v>24</v>
      </c>
      <c r="Q16" s="40">
        <f t="shared" si="0"/>
        <v>34</v>
      </c>
      <c r="R16" s="66">
        <f t="shared" si="0"/>
        <v>44</v>
      </c>
      <c r="S16" s="43">
        <f t="shared" si="0"/>
        <v>14</v>
      </c>
      <c r="T16" s="40">
        <f t="shared" si="0"/>
        <v>22</v>
      </c>
      <c r="U16" s="40">
        <f t="shared" si="0"/>
        <v>30</v>
      </c>
      <c r="V16" s="66">
        <f t="shared" si="0"/>
        <v>52</v>
      </c>
      <c r="W16" s="46">
        <f t="shared" si="1"/>
        <v>21</v>
      </c>
      <c r="X16" s="46">
        <f t="shared" si="1"/>
        <v>34</v>
      </c>
      <c r="Y16" s="46">
        <f t="shared" si="1"/>
        <v>47</v>
      </c>
      <c r="Z16" s="46">
        <f t="shared" si="1"/>
        <v>4</v>
      </c>
      <c r="AA16" s="46">
        <f t="shared" si="1"/>
        <v>21</v>
      </c>
      <c r="AB16" s="46">
        <f t="shared" si="1"/>
        <v>32</v>
      </c>
      <c r="AC16" s="46">
        <f t="shared" si="1"/>
        <v>43</v>
      </c>
      <c r="AD16" s="46">
        <f t="shared" si="1"/>
        <v>54</v>
      </c>
      <c r="AE16" s="46">
        <f t="shared" si="1"/>
        <v>21</v>
      </c>
      <c r="AF16" s="46">
        <f t="shared" si="1"/>
        <v>30</v>
      </c>
      <c r="AG16" s="46">
        <f t="shared" si="1"/>
        <v>47</v>
      </c>
      <c r="AH16" s="46">
        <f t="shared" si="1"/>
        <v>6</v>
      </c>
      <c r="AI16" s="46">
        <f t="shared" si="1"/>
        <v>21</v>
      </c>
      <c r="AJ16" s="46">
        <f t="shared" si="1"/>
        <v>28</v>
      </c>
      <c r="AK16" s="46">
        <f t="shared" si="1"/>
        <v>49</v>
      </c>
      <c r="AL16" s="46">
        <f t="shared" si="1"/>
        <v>56</v>
      </c>
    </row>
    <row r="17" spans="1:38" x14ac:dyDescent="0.35">
      <c r="A17" s="3">
        <v>14</v>
      </c>
      <c r="B17" s="22" t="s">
        <v>19</v>
      </c>
      <c r="D17">
        <f>$B$2-2</f>
        <v>54</v>
      </c>
      <c r="E17">
        <f>$B$2</f>
        <v>56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17</v>
      </c>
      <c r="E19">
        <f>ROUND($B$2/$C$2+$E$2/2+$B$2/8,0)</f>
        <v>26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31</v>
      </c>
      <c r="E20">
        <f>ROUND(2*$B$2/$C$2+$E$2/2+$B$2/8,0)</f>
        <v>40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45</v>
      </c>
      <c r="E21">
        <f>ROUND(3*$B$2/$C$2+$E$2/2+$B$2/8,0)</f>
        <v>54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54</v>
      </c>
      <c r="E22">
        <f>$B$2</f>
        <v>56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3</v>
      </c>
      <c r="E23">
        <f>ROUND($B$2/$C$2+$E$2/2-$B$2/8,0)</f>
        <v>12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82" priority="6" operator="between">
      <formula>$D$17</formula>
      <formula>$E$17</formula>
    </cfRule>
    <cfRule type="cellIs" dxfId="181" priority="7" operator="between">
      <formula>$D$16</formula>
      <formula>$E$16</formula>
    </cfRule>
    <cfRule type="cellIs" dxfId="180" priority="8" operator="between">
      <formula>$D$15</formula>
      <formula>$E$15</formula>
    </cfRule>
    <cfRule type="cellIs" dxfId="179" priority="9" operator="between">
      <formula>$D$14</formula>
      <formula>$E$14</formula>
    </cfRule>
  </conditionalFormatting>
  <conditionalFormatting sqref="W3:AL22">
    <cfRule type="cellIs" dxfId="178" priority="1" operator="between">
      <formula>$D$23</formula>
      <formula>$E$23</formula>
    </cfRule>
    <cfRule type="cellIs" dxfId="177" priority="2" operator="between">
      <formula>$D$22</formula>
      <formula>$E$22</formula>
    </cfRule>
    <cfRule type="cellIs" dxfId="176" priority="3" operator="between">
      <formula>$D$21</formula>
      <formula>$E$21</formula>
    </cfRule>
    <cfRule type="cellIs" dxfId="175" priority="4" operator="between">
      <formula>$D$20</formula>
      <formula>$E$20</formula>
    </cfRule>
    <cfRule type="cellIs" dxfId="174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33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14</v>
      </c>
      <c r="C4" s="58">
        <v>27</v>
      </c>
      <c r="D4" s="59">
        <v>40</v>
      </c>
      <c r="E4" s="57">
        <v>1</v>
      </c>
      <c r="F4" s="58">
        <v>25</v>
      </c>
      <c r="G4" s="86">
        <v>36</v>
      </c>
      <c r="H4" s="59">
        <v>47</v>
      </c>
      <c r="I4" s="57">
        <v>1</v>
      </c>
      <c r="J4" s="58">
        <v>23</v>
      </c>
      <c r="K4" s="58">
        <v>32</v>
      </c>
      <c r="L4" s="90">
        <v>41</v>
      </c>
      <c r="M4" s="57">
        <v>1</v>
      </c>
      <c r="N4" s="86">
        <v>21</v>
      </c>
      <c r="O4" s="58">
        <v>28</v>
      </c>
      <c r="P4" s="59">
        <v>48</v>
      </c>
    </row>
    <row r="5" spans="1:16" x14ac:dyDescent="0.35">
      <c r="A5" s="82">
        <v>2</v>
      </c>
      <c r="B5" s="55">
        <v>15</v>
      </c>
      <c r="C5" s="55">
        <v>28</v>
      </c>
      <c r="D5" s="56">
        <v>41</v>
      </c>
      <c r="E5" s="75">
        <v>2</v>
      </c>
      <c r="F5" s="76">
        <v>26</v>
      </c>
      <c r="G5" s="87">
        <v>37</v>
      </c>
      <c r="H5" s="77">
        <v>48</v>
      </c>
      <c r="I5" s="49">
        <v>2</v>
      </c>
      <c r="J5" s="50">
        <v>24</v>
      </c>
      <c r="K5" s="50">
        <v>33</v>
      </c>
      <c r="L5" s="91">
        <v>42</v>
      </c>
      <c r="M5" s="75">
        <v>2</v>
      </c>
      <c r="N5" s="87">
        <v>22</v>
      </c>
      <c r="O5" s="76">
        <v>29</v>
      </c>
      <c r="P5" s="77">
        <v>49</v>
      </c>
    </row>
    <row r="6" spans="1:16" x14ac:dyDescent="0.35">
      <c r="A6" s="83">
        <v>3</v>
      </c>
      <c r="B6" s="61">
        <v>16</v>
      </c>
      <c r="C6" s="61">
        <v>29</v>
      </c>
      <c r="D6" s="62">
        <v>42</v>
      </c>
      <c r="E6" s="60">
        <v>3</v>
      </c>
      <c r="F6" s="61">
        <v>14</v>
      </c>
      <c r="G6" s="88">
        <v>38</v>
      </c>
      <c r="H6" s="62">
        <v>49</v>
      </c>
      <c r="I6" s="60">
        <v>3</v>
      </c>
      <c r="J6" s="61">
        <v>25</v>
      </c>
      <c r="K6" s="61">
        <v>34</v>
      </c>
      <c r="L6" s="92">
        <v>43</v>
      </c>
      <c r="M6" s="60">
        <v>3</v>
      </c>
      <c r="N6" s="88">
        <v>23</v>
      </c>
      <c r="O6" s="61">
        <v>30</v>
      </c>
      <c r="P6" s="62">
        <v>50</v>
      </c>
    </row>
    <row r="7" spans="1:16" x14ac:dyDescent="0.35">
      <c r="A7" s="82">
        <v>4</v>
      </c>
      <c r="B7" s="55">
        <v>17</v>
      </c>
      <c r="C7" s="55">
        <v>30</v>
      </c>
      <c r="D7" s="56">
        <v>43</v>
      </c>
      <c r="E7" s="75">
        <v>4</v>
      </c>
      <c r="F7" s="76">
        <v>15</v>
      </c>
      <c r="G7" s="87">
        <v>39</v>
      </c>
      <c r="H7" s="77">
        <v>50</v>
      </c>
      <c r="I7" s="49">
        <v>4</v>
      </c>
      <c r="J7" s="50">
        <v>26</v>
      </c>
      <c r="K7" s="50">
        <v>35</v>
      </c>
      <c r="L7" s="91">
        <v>44</v>
      </c>
      <c r="M7" s="75">
        <v>4</v>
      </c>
      <c r="N7" s="87">
        <v>24</v>
      </c>
      <c r="O7" s="76">
        <v>31</v>
      </c>
      <c r="P7" s="77">
        <v>51</v>
      </c>
    </row>
    <row r="8" spans="1:16" x14ac:dyDescent="0.35">
      <c r="A8" s="83">
        <v>5</v>
      </c>
      <c r="B8" s="61">
        <v>18</v>
      </c>
      <c r="C8" s="61">
        <v>31</v>
      </c>
      <c r="D8" s="62">
        <v>44</v>
      </c>
      <c r="E8" s="60">
        <v>5</v>
      </c>
      <c r="F8" s="61">
        <v>16</v>
      </c>
      <c r="G8" s="88">
        <v>27</v>
      </c>
      <c r="H8" s="62">
        <v>51</v>
      </c>
      <c r="I8" s="60">
        <v>5</v>
      </c>
      <c r="J8" s="61">
        <v>14</v>
      </c>
      <c r="K8" s="61">
        <v>36</v>
      </c>
      <c r="L8" s="92">
        <v>45</v>
      </c>
      <c r="M8" s="60">
        <v>5</v>
      </c>
      <c r="N8" s="88">
        <v>25</v>
      </c>
      <c r="O8" s="61">
        <v>32</v>
      </c>
      <c r="P8" s="62">
        <v>52</v>
      </c>
    </row>
    <row r="9" spans="1:16" x14ac:dyDescent="0.35">
      <c r="A9" s="82">
        <v>6</v>
      </c>
      <c r="B9" s="55">
        <v>19</v>
      </c>
      <c r="C9" s="55">
        <v>32</v>
      </c>
      <c r="D9" s="56">
        <v>45</v>
      </c>
      <c r="E9" s="75">
        <v>6</v>
      </c>
      <c r="F9" s="76">
        <v>17</v>
      </c>
      <c r="G9" s="87">
        <v>28</v>
      </c>
      <c r="H9" s="77">
        <v>52</v>
      </c>
      <c r="I9" s="49">
        <v>6</v>
      </c>
      <c r="J9" s="50">
        <v>15</v>
      </c>
      <c r="K9" s="50">
        <v>37</v>
      </c>
      <c r="L9" s="91">
        <v>46</v>
      </c>
      <c r="M9" s="75">
        <v>6</v>
      </c>
      <c r="N9" s="87">
        <v>26</v>
      </c>
      <c r="O9" s="76">
        <v>33</v>
      </c>
      <c r="P9" s="77">
        <v>40</v>
      </c>
    </row>
    <row r="10" spans="1:16" x14ac:dyDescent="0.35">
      <c r="A10" s="83">
        <v>7</v>
      </c>
      <c r="B10" s="61">
        <v>20</v>
      </c>
      <c r="C10" s="61">
        <v>33</v>
      </c>
      <c r="D10" s="62">
        <v>46</v>
      </c>
      <c r="E10" s="60">
        <v>7</v>
      </c>
      <c r="F10" s="61">
        <v>18</v>
      </c>
      <c r="G10" s="88">
        <v>29</v>
      </c>
      <c r="H10" s="62">
        <v>40</v>
      </c>
      <c r="I10" s="60">
        <v>7</v>
      </c>
      <c r="J10" s="61">
        <v>16</v>
      </c>
      <c r="K10" s="61">
        <v>38</v>
      </c>
      <c r="L10" s="92">
        <v>47</v>
      </c>
      <c r="M10" s="60">
        <v>7</v>
      </c>
      <c r="N10" s="88">
        <v>14</v>
      </c>
      <c r="O10" s="61">
        <v>34</v>
      </c>
      <c r="P10" s="62">
        <v>41</v>
      </c>
    </row>
    <row r="11" spans="1:16" x14ac:dyDescent="0.35">
      <c r="A11" s="84">
        <v>8</v>
      </c>
      <c r="B11" s="50">
        <v>21</v>
      </c>
      <c r="C11" s="50">
        <v>34</v>
      </c>
      <c r="D11" s="51">
        <v>47</v>
      </c>
      <c r="E11" s="75">
        <v>8</v>
      </c>
      <c r="F11" s="76">
        <v>19</v>
      </c>
      <c r="G11" s="87">
        <v>30</v>
      </c>
      <c r="H11" s="77">
        <v>41</v>
      </c>
      <c r="I11" s="49">
        <v>8</v>
      </c>
      <c r="J11" s="50">
        <v>17</v>
      </c>
      <c r="K11" s="50">
        <v>39</v>
      </c>
      <c r="L11" s="91">
        <v>48</v>
      </c>
      <c r="M11" s="75">
        <v>8</v>
      </c>
      <c r="N11" s="87">
        <v>15</v>
      </c>
      <c r="O11" s="76">
        <v>35</v>
      </c>
      <c r="P11" s="77">
        <v>42</v>
      </c>
    </row>
    <row r="12" spans="1:16" x14ac:dyDescent="0.35">
      <c r="A12" s="83">
        <v>9</v>
      </c>
      <c r="B12" s="61">
        <v>22</v>
      </c>
      <c r="C12" s="61">
        <v>35</v>
      </c>
      <c r="D12" s="62">
        <v>48</v>
      </c>
      <c r="E12" s="60">
        <v>9</v>
      </c>
      <c r="F12" s="61">
        <v>20</v>
      </c>
      <c r="G12" s="88">
        <v>31</v>
      </c>
      <c r="H12" s="62">
        <v>42</v>
      </c>
      <c r="I12" s="60">
        <v>9</v>
      </c>
      <c r="J12" s="61">
        <v>18</v>
      </c>
      <c r="K12" s="61">
        <v>27</v>
      </c>
      <c r="L12" s="92">
        <v>49</v>
      </c>
      <c r="M12" s="60">
        <v>9</v>
      </c>
      <c r="N12" s="88">
        <v>16</v>
      </c>
      <c r="O12" s="61">
        <v>36</v>
      </c>
      <c r="P12" s="62">
        <v>43</v>
      </c>
    </row>
    <row r="13" spans="1:16" x14ac:dyDescent="0.35">
      <c r="A13" s="84">
        <v>10</v>
      </c>
      <c r="B13" s="50">
        <v>23</v>
      </c>
      <c r="C13" s="50">
        <v>36</v>
      </c>
      <c r="D13" s="51">
        <v>49</v>
      </c>
      <c r="E13" s="75">
        <v>10</v>
      </c>
      <c r="F13" s="76">
        <v>21</v>
      </c>
      <c r="G13" s="87">
        <v>32</v>
      </c>
      <c r="H13" s="77">
        <v>43</v>
      </c>
      <c r="I13" s="49">
        <v>10</v>
      </c>
      <c r="J13" s="50">
        <v>19</v>
      </c>
      <c r="K13" s="50">
        <v>28</v>
      </c>
      <c r="L13" s="91">
        <v>50</v>
      </c>
      <c r="M13" s="75">
        <v>10</v>
      </c>
      <c r="N13" s="87">
        <v>17</v>
      </c>
      <c r="O13" s="76">
        <v>37</v>
      </c>
      <c r="P13" s="77">
        <v>44</v>
      </c>
    </row>
    <row r="14" spans="1:16" x14ac:dyDescent="0.35">
      <c r="A14" s="83">
        <v>11</v>
      </c>
      <c r="B14" s="61">
        <v>24</v>
      </c>
      <c r="C14" s="61">
        <v>37</v>
      </c>
      <c r="D14" s="62">
        <v>50</v>
      </c>
      <c r="E14" s="60">
        <v>11</v>
      </c>
      <c r="F14" s="61">
        <v>22</v>
      </c>
      <c r="G14" s="88">
        <v>33</v>
      </c>
      <c r="H14" s="62">
        <v>44</v>
      </c>
      <c r="I14" s="60">
        <v>11</v>
      </c>
      <c r="J14" s="61">
        <v>20</v>
      </c>
      <c r="K14" s="61">
        <v>29</v>
      </c>
      <c r="L14" s="92">
        <v>51</v>
      </c>
      <c r="M14" s="60">
        <v>11</v>
      </c>
      <c r="N14" s="88">
        <v>18</v>
      </c>
      <c r="O14" s="61">
        <v>38</v>
      </c>
      <c r="P14" s="62">
        <v>45</v>
      </c>
    </row>
    <row r="15" spans="1:16" x14ac:dyDescent="0.35">
      <c r="A15" s="84">
        <v>12</v>
      </c>
      <c r="B15" s="50">
        <v>25</v>
      </c>
      <c r="C15" s="50">
        <v>38</v>
      </c>
      <c r="D15" s="51">
        <v>51</v>
      </c>
      <c r="E15" s="75">
        <v>12</v>
      </c>
      <c r="F15" s="76">
        <v>23</v>
      </c>
      <c r="G15" s="87">
        <v>34</v>
      </c>
      <c r="H15" s="77">
        <v>45</v>
      </c>
      <c r="I15" s="49">
        <v>12</v>
      </c>
      <c r="J15" s="50">
        <v>21</v>
      </c>
      <c r="K15" s="50">
        <v>30</v>
      </c>
      <c r="L15" s="91">
        <v>52</v>
      </c>
      <c r="M15" s="75">
        <v>12</v>
      </c>
      <c r="N15" s="87">
        <v>19</v>
      </c>
      <c r="O15" s="76">
        <v>39</v>
      </c>
      <c r="P15" s="77">
        <v>46</v>
      </c>
    </row>
    <row r="16" spans="1:16" x14ac:dyDescent="0.35">
      <c r="A16" s="83">
        <v>13</v>
      </c>
      <c r="B16" s="61">
        <v>26</v>
      </c>
      <c r="C16" s="61">
        <v>39</v>
      </c>
      <c r="D16" s="62">
        <v>52</v>
      </c>
      <c r="E16" s="60">
        <v>13</v>
      </c>
      <c r="F16" s="61">
        <v>24</v>
      </c>
      <c r="G16" s="88">
        <v>35</v>
      </c>
      <c r="H16" s="62">
        <v>46</v>
      </c>
      <c r="I16" s="60">
        <v>13</v>
      </c>
      <c r="J16" s="61">
        <v>22</v>
      </c>
      <c r="K16" s="61">
        <v>31</v>
      </c>
      <c r="L16" s="92">
        <v>40</v>
      </c>
      <c r="M16" s="60">
        <v>13</v>
      </c>
      <c r="N16" s="88">
        <v>20</v>
      </c>
      <c r="O16" s="61">
        <v>27</v>
      </c>
      <c r="P16" s="62">
        <v>47</v>
      </c>
    </row>
    <row r="17" spans="1:16" ht="15" thickBot="1" x14ac:dyDescent="0.4"/>
    <row r="18" spans="1:16" x14ac:dyDescent="0.35">
      <c r="A18" s="108" t="s">
        <v>34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</row>
    <row r="19" spans="1:16" ht="5.25" customHeight="1" thickBot="1" x14ac:dyDescent="0.4">
      <c r="A19" s="111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3"/>
    </row>
    <row r="20" spans="1:16" ht="15" thickBot="1" x14ac:dyDescent="0.4">
      <c r="A20" s="102" t="s">
        <v>30</v>
      </c>
      <c r="B20" s="103"/>
      <c r="C20" s="103"/>
      <c r="D20" s="104"/>
      <c r="E20" s="105" t="s">
        <v>31</v>
      </c>
      <c r="F20" s="106"/>
      <c r="G20" s="106"/>
      <c r="H20" s="107"/>
      <c r="I20" s="102" t="s">
        <v>32</v>
      </c>
      <c r="J20" s="103"/>
      <c r="K20" s="103"/>
      <c r="L20" s="104"/>
      <c r="M20" s="105" t="s">
        <v>33</v>
      </c>
      <c r="N20" s="106"/>
      <c r="O20" s="106"/>
      <c r="P20" s="107"/>
    </row>
    <row r="21" spans="1:16" x14ac:dyDescent="0.35">
      <c r="A21" s="57">
        <v>8</v>
      </c>
      <c r="B21" s="86">
        <v>33</v>
      </c>
      <c r="C21" s="58">
        <v>45</v>
      </c>
      <c r="D21" s="59">
        <v>5</v>
      </c>
      <c r="E21" s="57">
        <v>8</v>
      </c>
      <c r="F21" s="58">
        <v>31</v>
      </c>
      <c r="G21" s="58">
        <v>41</v>
      </c>
      <c r="H21" s="90">
        <v>51</v>
      </c>
      <c r="I21" s="57">
        <v>8</v>
      </c>
      <c r="J21" s="58">
        <v>29</v>
      </c>
      <c r="K21" s="86">
        <v>45</v>
      </c>
      <c r="L21" s="59">
        <v>6</v>
      </c>
      <c r="M21" s="81">
        <v>8</v>
      </c>
      <c r="N21" s="58">
        <v>27</v>
      </c>
      <c r="O21" s="58">
        <v>46</v>
      </c>
      <c r="P21" s="59">
        <v>52</v>
      </c>
    </row>
    <row r="22" spans="1:16" x14ac:dyDescent="0.35">
      <c r="A22" s="94">
        <v>9</v>
      </c>
      <c r="B22" s="95">
        <v>21</v>
      </c>
      <c r="C22" s="55">
        <v>46</v>
      </c>
      <c r="D22" s="56">
        <v>6</v>
      </c>
      <c r="E22" s="75">
        <v>9</v>
      </c>
      <c r="F22" s="76">
        <v>32</v>
      </c>
      <c r="G22" s="76">
        <v>42</v>
      </c>
      <c r="H22" s="98">
        <v>52</v>
      </c>
      <c r="I22" s="49">
        <v>9</v>
      </c>
      <c r="J22" s="50">
        <v>30</v>
      </c>
      <c r="K22" s="96">
        <v>46</v>
      </c>
      <c r="L22" s="51">
        <v>7</v>
      </c>
      <c r="M22" s="100">
        <v>9</v>
      </c>
      <c r="N22" s="76">
        <v>28</v>
      </c>
      <c r="O22" s="76">
        <v>34</v>
      </c>
      <c r="P22" s="77">
        <v>1</v>
      </c>
    </row>
    <row r="23" spans="1:16" x14ac:dyDescent="0.35">
      <c r="A23" s="60">
        <v>10</v>
      </c>
      <c r="B23" s="88">
        <v>22</v>
      </c>
      <c r="C23" s="61">
        <v>34</v>
      </c>
      <c r="D23" s="62">
        <v>7</v>
      </c>
      <c r="E23" s="60">
        <v>10</v>
      </c>
      <c r="F23" s="61">
        <v>33</v>
      </c>
      <c r="G23" s="61">
        <v>43</v>
      </c>
      <c r="H23" s="92">
        <v>1</v>
      </c>
      <c r="I23" s="60">
        <v>10</v>
      </c>
      <c r="J23" s="61">
        <v>31</v>
      </c>
      <c r="K23" s="88">
        <v>34</v>
      </c>
      <c r="L23" s="62">
        <v>47</v>
      </c>
      <c r="M23" s="83">
        <v>10</v>
      </c>
      <c r="N23" s="61">
        <v>29</v>
      </c>
      <c r="O23" s="61">
        <v>35</v>
      </c>
      <c r="P23" s="62">
        <v>2</v>
      </c>
    </row>
    <row r="24" spans="1:16" x14ac:dyDescent="0.35">
      <c r="A24" s="94">
        <v>11</v>
      </c>
      <c r="B24" s="95">
        <v>23</v>
      </c>
      <c r="C24" s="55">
        <v>35</v>
      </c>
      <c r="D24" s="56">
        <v>47</v>
      </c>
      <c r="E24" s="75">
        <v>11</v>
      </c>
      <c r="F24" s="76">
        <v>21</v>
      </c>
      <c r="G24" s="76">
        <v>44</v>
      </c>
      <c r="H24" s="98">
        <v>2</v>
      </c>
      <c r="I24" s="49">
        <v>11</v>
      </c>
      <c r="J24" s="50">
        <v>32</v>
      </c>
      <c r="K24" s="96">
        <v>35</v>
      </c>
      <c r="L24" s="51">
        <v>48</v>
      </c>
      <c r="M24" s="100">
        <v>11</v>
      </c>
      <c r="N24" s="76">
        <v>30</v>
      </c>
      <c r="O24" s="76">
        <v>36</v>
      </c>
      <c r="P24" s="77">
        <v>3</v>
      </c>
    </row>
    <row r="25" spans="1:16" x14ac:dyDescent="0.35">
      <c r="A25" s="60">
        <v>12</v>
      </c>
      <c r="B25" s="88">
        <v>24</v>
      </c>
      <c r="C25" s="61">
        <v>36</v>
      </c>
      <c r="D25" s="62">
        <v>48</v>
      </c>
      <c r="E25" s="60">
        <v>12</v>
      </c>
      <c r="F25" s="61">
        <v>22</v>
      </c>
      <c r="G25" s="61">
        <v>45</v>
      </c>
      <c r="H25" s="92">
        <v>3</v>
      </c>
      <c r="I25" s="60">
        <v>12</v>
      </c>
      <c r="J25" s="61">
        <v>33</v>
      </c>
      <c r="K25" s="88">
        <v>36</v>
      </c>
      <c r="L25" s="62">
        <v>49</v>
      </c>
      <c r="M25" s="83">
        <v>12</v>
      </c>
      <c r="N25" s="61">
        <v>31</v>
      </c>
      <c r="O25" s="61">
        <v>37</v>
      </c>
      <c r="P25" s="62">
        <v>4</v>
      </c>
    </row>
    <row r="26" spans="1:16" x14ac:dyDescent="0.35">
      <c r="A26" s="94">
        <v>13</v>
      </c>
      <c r="B26" s="95">
        <v>25</v>
      </c>
      <c r="C26" s="55">
        <v>37</v>
      </c>
      <c r="D26" s="56">
        <v>49</v>
      </c>
      <c r="E26" s="75">
        <v>13</v>
      </c>
      <c r="F26" s="76">
        <v>23</v>
      </c>
      <c r="G26" s="76">
        <v>46</v>
      </c>
      <c r="H26" s="98">
        <v>4</v>
      </c>
      <c r="I26" s="49">
        <v>13</v>
      </c>
      <c r="J26" s="50">
        <v>21</v>
      </c>
      <c r="K26" s="96">
        <v>37</v>
      </c>
      <c r="L26" s="51">
        <v>50</v>
      </c>
      <c r="M26" s="100">
        <v>13</v>
      </c>
      <c r="N26" s="76">
        <v>32</v>
      </c>
      <c r="O26" s="76">
        <v>38</v>
      </c>
      <c r="P26" s="77">
        <v>5</v>
      </c>
    </row>
    <row r="27" spans="1:16" x14ac:dyDescent="0.35">
      <c r="A27" s="60">
        <v>14</v>
      </c>
      <c r="B27" s="88">
        <v>26</v>
      </c>
      <c r="C27" s="61">
        <v>38</v>
      </c>
      <c r="D27" s="62">
        <v>50</v>
      </c>
      <c r="E27" s="60">
        <v>14</v>
      </c>
      <c r="F27" s="61">
        <v>24</v>
      </c>
      <c r="G27" s="61">
        <v>34</v>
      </c>
      <c r="H27" s="92">
        <v>5</v>
      </c>
      <c r="I27" s="60">
        <v>14</v>
      </c>
      <c r="J27" s="61">
        <v>22</v>
      </c>
      <c r="K27" s="88">
        <v>38</v>
      </c>
      <c r="L27" s="62">
        <v>51</v>
      </c>
      <c r="M27" s="83">
        <v>14</v>
      </c>
      <c r="N27" s="61">
        <v>33</v>
      </c>
      <c r="O27" s="61">
        <v>39</v>
      </c>
      <c r="P27" s="62">
        <v>6</v>
      </c>
    </row>
    <row r="28" spans="1:16" x14ac:dyDescent="0.35">
      <c r="A28" s="49">
        <v>15</v>
      </c>
      <c r="B28" s="96">
        <v>27</v>
      </c>
      <c r="C28" s="50">
        <v>39</v>
      </c>
      <c r="D28" s="51">
        <v>51</v>
      </c>
      <c r="E28" s="75">
        <v>15</v>
      </c>
      <c r="F28" s="76">
        <v>25</v>
      </c>
      <c r="G28" s="76">
        <v>35</v>
      </c>
      <c r="H28" s="98">
        <v>6</v>
      </c>
      <c r="I28" s="49">
        <v>15</v>
      </c>
      <c r="J28" s="50">
        <v>23</v>
      </c>
      <c r="K28" s="96">
        <v>39</v>
      </c>
      <c r="L28" s="51">
        <v>52</v>
      </c>
      <c r="M28" s="100">
        <v>15</v>
      </c>
      <c r="N28" s="76">
        <v>21</v>
      </c>
      <c r="O28" s="76">
        <v>40</v>
      </c>
      <c r="P28" s="77">
        <v>7</v>
      </c>
    </row>
    <row r="29" spans="1:16" x14ac:dyDescent="0.35">
      <c r="A29" s="60">
        <v>16</v>
      </c>
      <c r="B29" s="88">
        <v>28</v>
      </c>
      <c r="C29" s="61">
        <v>40</v>
      </c>
      <c r="D29" s="62">
        <v>52</v>
      </c>
      <c r="E29" s="60">
        <v>16</v>
      </c>
      <c r="F29" s="61">
        <v>26</v>
      </c>
      <c r="G29" s="61">
        <v>36</v>
      </c>
      <c r="H29" s="92">
        <v>7</v>
      </c>
      <c r="I29" s="60">
        <v>16</v>
      </c>
      <c r="J29" s="61">
        <v>24</v>
      </c>
      <c r="K29" s="88">
        <v>40</v>
      </c>
      <c r="L29" s="62">
        <v>1</v>
      </c>
      <c r="M29" s="83">
        <v>16</v>
      </c>
      <c r="N29" s="61">
        <v>22</v>
      </c>
      <c r="O29" s="61">
        <v>41</v>
      </c>
      <c r="P29" s="62">
        <v>47</v>
      </c>
    </row>
    <row r="30" spans="1:16" x14ac:dyDescent="0.35">
      <c r="A30" s="49">
        <v>17</v>
      </c>
      <c r="B30" s="96">
        <v>29</v>
      </c>
      <c r="C30" s="50">
        <v>41</v>
      </c>
      <c r="D30" s="51">
        <v>1</v>
      </c>
      <c r="E30" s="75">
        <v>17</v>
      </c>
      <c r="F30" s="76">
        <v>27</v>
      </c>
      <c r="G30" s="76">
        <v>37</v>
      </c>
      <c r="H30" s="98">
        <v>47</v>
      </c>
      <c r="I30" s="49">
        <v>17</v>
      </c>
      <c r="J30" s="50">
        <v>25</v>
      </c>
      <c r="K30" s="96">
        <v>41</v>
      </c>
      <c r="L30" s="51">
        <v>2</v>
      </c>
      <c r="M30" s="100">
        <v>17</v>
      </c>
      <c r="N30" s="76">
        <v>23</v>
      </c>
      <c r="O30" s="76">
        <v>42</v>
      </c>
      <c r="P30" s="77">
        <v>48</v>
      </c>
    </row>
    <row r="31" spans="1:16" x14ac:dyDescent="0.35">
      <c r="A31" s="60">
        <v>18</v>
      </c>
      <c r="B31" s="88">
        <v>30</v>
      </c>
      <c r="C31" s="61">
        <v>42</v>
      </c>
      <c r="D31" s="62">
        <v>2</v>
      </c>
      <c r="E31" s="60">
        <v>18</v>
      </c>
      <c r="F31" s="61">
        <v>28</v>
      </c>
      <c r="G31" s="61">
        <v>38</v>
      </c>
      <c r="H31" s="92">
        <v>48</v>
      </c>
      <c r="I31" s="60">
        <v>18</v>
      </c>
      <c r="J31" s="61">
        <v>26</v>
      </c>
      <c r="K31" s="88">
        <v>42</v>
      </c>
      <c r="L31" s="62">
        <v>3</v>
      </c>
      <c r="M31" s="83">
        <v>18</v>
      </c>
      <c r="N31" s="61">
        <v>24</v>
      </c>
      <c r="O31" s="61">
        <v>43</v>
      </c>
      <c r="P31" s="62">
        <v>49</v>
      </c>
    </row>
    <row r="32" spans="1:16" x14ac:dyDescent="0.35">
      <c r="A32" s="49">
        <v>19</v>
      </c>
      <c r="B32" s="96">
        <v>31</v>
      </c>
      <c r="C32" s="50">
        <v>43</v>
      </c>
      <c r="D32" s="51">
        <v>3</v>
      </c>
      <c r="E32" s="75">
        <v>19</v>
      </c>
      <c r="F32" s="76">
        <v>29</v>
      </c>
      <c r="G32" s="76">
        <v>39</v>
      </c>
      <c r="H32" s="98">
        <v>49</v>
      </c>
      <c r="I32" s="49">
        <v>19</v>
      </c>
      <c r="J32" s="50">
        <v>27</v>
      </c>
      <c r="K32" s="96">
        <v>43</v>
      </c>
      <c r="L32" s="51">
        <v>4</v>
      </c>
      <c r="M32" s="100">
        <v>19</v>
      </c>
      <c r="N32" s="76">
        <v>25</v>
      </c>
      <c r="O32" s="76">
        <v>44</v>
      </c>
      <c r="P32" s="77">
        <v>50</v>
      </c>
    </row>
    <row r="33" spans="1:16" x14ac:dyDescent="0.35">
      <c r="A33" s="60">
        <v>20</v>
      </c>
      <c r="B33" s="88">
        <v>32</v>
      </c>
      <c r="C33" s="61">
        <v>44</v>
      </c>
      <c r="D33" s="62">
        <v>4</v>
      </c>
      <c r="E33" s="60">
        <v>20</v>
      </c>
      <c r="F33" s="61">
        <v>30</v>
      </c>
      <c r="G33" s="61">
        <v>40</v>
      </c>
      <c r="H33" s="92">
        <v>50</v>
      </c>
      <c r="I33" s="60">
        <v>20</v>
      </c>
      <c r="J33" s="61">
        <v>28</v>
      </c>
      <c r="K33" s="88">
        <v>44</v>
      </c>
      <c r="L33" s="62">
        <v>5</v>
      </c>
      <c r="M33" s="83">
        <v>20</v>
      </c>
      <c r="N33" s="61">
        <v>26</v>
      </c>
      <c r="O33" s="61">
        <v>45</v>
      </c>
      <c r="P33" s="62">
        <v>51</v>
      </c>
    </row>
  </sheetData>
  <mergeCells count="10">
    <mergeCell ref="A20:D20"/>
    <mergeCell ref="E20:H20"/>
    <mergeCell ref="I20:L20"/>
    <mergeCell ref="M20:P20"/>
    <mergeCell ref="A1:P2"/>
    <mergeCell ref="A3:D3"/>
    <mergeCell ref="E3:H3"/>
    <mergeCell ref="I3:L3"/>
    <mergeCell ref="M3:P3"/>
    <mergeCell ref="A18:P19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L82"/>
  <sheetViews>
    <sheetView topLeftCell="N1" workbookViewId="0">
      <selection activeCell="W3" sqref="W3:AL15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3</v>
      </c>
      <c r="D1">
        <f>FLOOR(3*$B$2/32,1)</f>
        <v>4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1</v>
      </c>
      <c r="AH1" s="10">
        <v>5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52</v>
      </c>
      <c r="C2">
        <v>4</v>
      </c>
      <c r="D2">
        <v>8</v>
      </c>
      <c r="E2">
        <v>8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5" si="0">MOD($A3-G$1*G$2,$B$2/4)+G$2*$B$2/4+1</f>
        <v>1</v>
      </c>
      <c r="H3" s="64">
        <f t="shared" si="0"/>
        <v>14</v>
      </c>
      <c r="I3" s="64">
        <f t="shared" si="0"/>
        <v>27</v>
      </c>
      <c r="J3" s="65">
        <f t="shared" si="0"/>
        <v>40</v>
      </c>
      <c r="K3" s="63">
        <f t="shared" si="0"/>
        <v>1</v>
      </c>
      <c r="L3" s="64">
        <f t="shared" si="0"/>
        <v>25</v>
      </c>
      <c r="M3" s="64">
        <f t="shared" si="0"/>
        <v>36</v>
      </c>
      <c r="N3" s="65">
        <f t="shared" si="0"/>
        <v>47</v>
      </c>
      <c r="O3" s="63">
        <f t="shared" si="0"/>
        <v>1</v>
      </c>
      <c r="P3" s="64">
        <f t="shared" si="0"/>
        <v>23</v>
      </c>
      <c r="Q3" s="64">
        <f t="shared" si="0"/>
        <v>32</v>
      </c>
      <c r="R3" s="65">
        <f t="shared" si="0"/>
        <v>41</v>
      </c>
      <c r="S3" s="63">
        <f t="shared" si="0"/>
        <v>1</v>
      </c>
      <c r="T3" s="64">
        <f t="shared" si="0"/>
        <v>21</v>
      </c>
      <c r="U3" s="64">
        <f t="shared" si="0"/>
        <v>28</v>
      </c>
      <c r="V3" s="65">
        <f t="shared" si="0"/>
        <v>48</v>
      </c>
      <c r="W3" s="46">
        <f t="shared" ref="W3:AL15" si="1">MOD(MOD($A3-W$1*W$2,$B$2/4)+W$2*$B$2/4+ROUND($B$2/8,0),$B$2)+1</f>
        <v>8</v>
      </c>
      <c r="X3" s="46">
        <f t="shared" si="1"/>
        <v>33</v>
      </c>
      <c r="Y3" s="46">
        <f t="shared" si="1"/>
        <v>45</v>
      </c>
      <c r="Z3" s="46">
        <f t="shared" si="1"/>
        <v>5</v>
      </c>
      <c r="AA3" s="46">
        <f t="shared" si="1"/>
        <v>8</v>
      </c>
      <c r="AB3" s="46">
        <f t="shared" si="1"/>
        <v>31</v>
      </c>
      <c r="AC3" s="46">
        <f t="shared" si="1"/>
        <v>41</v>
      </c>
      <c r="AD3" s="46">
        <f t="shared" si="1"/>
        <v>51</v>
      </c>
      <c r="AE3" s="46">
        <f t="shared" si="1"/>
        <v>8</v>
      </c>
      <c r="AF3" s="46">
        <f t="shared" si="1"/>
        <v>29</v>
      </c>
      <c r="AG3" s="46">
        <f t="shared" si="1"/>
        <v>45</v>
      </c>
      <c r="AH3" s="46">
        <f t="shared" si="1"/>
        <v>6</v>
      </c>
      <c r="AI3" s="46">
        <f t="shared" si="1"/>
        <v>8</v>
      </c>
      <c r="AJ3" s="46">
        <f t="shared" si="1"/>
        <v>27</v>
      </c>
      <c r="AK3" s="46">
        <f t="shared" si="1"/>
        <v>46</v>
      </c>
      <c r="AL3" s="46">
        <f t="shared" si="1"/>
        <v>52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15</v>
      </c>
      <c r="I4" s="40">
        <f t="shared" si="0"/>
        <v>28</v>
      </c>
      <c r="J4" s="66">
        <f t="shared" si="0"/>
        <v>41</v>
      </c>
      <c r="K4" s="43">
        <f t="shared" si="0"/>
        <v>2</v>
      </c>
      <c r="L4" s="40">
        <f t="shared" si="0"/>
        <v>26</v>
      </c>
      <c r="M4" s="40">
        <f t="shared" si="0"/>
        <v>37</v>
      </c>
      <c r="N4" s="66">
        <f t="shared" si="0"/>
        <v>48</v>
      </c>
      <c r="O4" s="43">
        <f t="shared" si="0"/>
        <v>2</v>
      </c>
      <c r="P4" s="40">
        <f t="shared" si="0"/>
        <v>24</v>
      </c>
      <c r="Q4" s="40">
        <f t="shared" si="0"/>
        <v>33</v>
      </c>
      <c r="R4" s="66">
        <f t="shared" si="0"/>
        <v>42</v>
      </c>
      <c r="S4" s="43">
        <f t="shared" si="0"/>
        <v>2</v>
      </c>
      <c r="T4" s="40">
        <f t="shared" si="0"/>
        <v>22</v>
      </c>
      <c r="U4" s="40">
        <f t="shared" si="0"/>
        <v>29</v>
      </c>
      <c r="V4" s="66">
        <f t="shared" si="0"/>
        <v>49</v>
      </c>
      <c r="W4" s="46">
        <f t="shared" si="1"/>
        <v>9</v>
      </c>
      <c r="X4" s="46">
        <f t="shared" si="1"/>
        <v>21</v>
      </c>
      <c r="Y4" s="46">
        <f t="shared" si="1"/>
        <v>46</v>
      </c>
      <c r="Z4" s="46">
        <f t="shared" si="1"/>
        <v>6</v>
      </c>
      <c r="AA4" s="46">
        <f t="shared" si="1"/>
        <v>9</v>
      </c>
      <c r="AB4" s="46">
        <f t="shared" si="1"/>
        <v>32</v>
      </c>
      <c r="AC4" s="46">
        <f t="shared" si="1"/>
        <v>42</v>
      </c>
      <c r="AD4" s="46">
        <f t="shared" si="1"/>
        <v>52</v>
      </c>
      <c r="AE4" s="46">
        <f t="shared" si="1"/>
        <v>9</v>
      </c>
      <c r="AF4" s="46">
        <f t="shared" si="1"/>
        <v>30</v>
      </c>
      <c r="AG4" s="46">
        <f t="shared" si="1"/>
        <v>46</v>
      </c>
      <c r="AH4" s="46">
        <f t="shared" si="1"/>
        <v>7</v>
      </c>
      <c r="AI4" s="46">
        <f t="shared" si="1"/>
        <v>9</v>
      </c>
      <c r="AJ4" s="46">
        <f t="shared" si="1"/>
        <v>28</v>
      </c>
      <c r="AK4" s="46">
        <f t="shared" si="1"/>
        <v>34</v>
      </c>
      <c r="AL4" s="46">
        <f t="shared" si="1"/>
        <v>1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16</v>
      </c>
      <c r="I5" s="40">
        <f t="shared" si="0"/>
        <v>29</v>
      </c>
      <c r="J5" s="66">
        <f t="shared" si="0"/>
        <v>42</v>
      </c>
      <c r="K5" s="43">
        <f t="shared" si="0"/>
        <v>3</v>
      </c>
      <c r="L5" s="40">
        <f t="shared" si="0"/>
        <v>14</v>
      </c>
      <c r="M5" s="40">
        <f t="shared" si="0"/>
        <v>38</v>
      </c>
      <c r="N5" s="66">
        <f t="shared" si="0"/>
        <v>49</v>
      </c>
      <c r="O5" s="43">
        <f t="shared" si="0"/>
        <v>3</v>
      </c>
      <c r="P5" s="40">
        <f t="shared" si="0"/>
        <v>25</v>
      </c>
      <c r="Q5" s="40">
        <f t="shared" si="0"/>
        <v>34</v>
      </c>
      <c r="R5" s="66">
        <f t="shared" si="0"/>
        <v>43</v>
      </c>
      <c r="S5" s="43">
        <f t="shared" si="0"/>
        <v>3</v>
      </c>
      <c r="T5" s="40">
        <f t="shared" si="0"/>
        <v>23</v>
      </c>
      <c r="U5" s="40">
        <f t="shared" si="0"/>
        <v>30</v>
      </c>
      <c r="V5" s="66">
        <f t="shared" si="0"/>
        <v>50</v>
      </c>
      <c r="W5" s="46">
        <f t="shared" si="1"/>
        <v>10</v>
      </c>
      <c r="X5" s="46">
        <f t="shared" si="1"/>
        <v>22</v>
      </c>
      <c r="Y5" s="46">
        <f t="shared" si="1"/>
        <v>34</v>
      </c>
      <c r="Z5" s="46">
        <f t="shared" si="1"/>
        <v>7</v>
      </c>
      <c r="AA5" s="46">
        <f t="shared" si="1"/>
        <v>10</v>
      </c>
      <c r="AB5" s="46">
        <f t="shared" si="1"/>
        <v>33</v>
      </c>
      <c r="AC5" s="46">
        <f t="shared" si="1"/>
        <v>43</v>
      </c>
      <c r="AD5" s="46">
        <f t="shared" si="1"/>
        <v>1</v>
      </c>
      <c r="AE5" s="46">
        <f t="shared" si="1"/>
        <v>10</v>
      </c>
      <c r="AF5" s="46">
        <f t="shared" si="1"/>
        <v>31</v>
      </c>
      <c r="AG5" s="46">
        <f t="shared" si="1"/>
        <v>34</v>
      </c>
      <c r="AH5" s="46">
        <f t="shared" si="1"/>
        <v>47</v>
      </c>
      <c r="AI5" s="46">
        <f t="shared" si="1"/>
        <v>10</v>
      </c>
      <c r="AJ5" s="46">
        <f t="shared" si="1"/>
        <v>29</v>
      </c>
      <c r="AK5" s="46">
        <f t="shared" si="1"/>
        <v>35</v>
      </c>
      <c r="AL5" s="46">
        <f t="shared" si="1"/>
        <v>2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17</v>
      </c>
      <c r="I6" s="40">
        <f t="shared" si="0"/>
        <v>30</v>
      </c>
      <c r="J6" s="66">
        <f t="shared" si="0"/>
        <v>43</v>
      </c>
      <c r="K6" s="43">
        <f t="shared" si="0"/>
        <v>4</v>
      </c>
      <c r="L6" s="40">
        <f t="shared" si="0"/>
        <v>15</v>
      </c>
      <c r="M6" s="40">
        <f t="shared" si="0"/>
        <v>39</v>
      </c>
      <c r="N6" s="66">
        <f t="shared" si="0"/>
        <v>50</v>
      </c>
      <c r="O6" s="43">
        <f t="shared" si="0"/>
        <v>4</v>
      </c>
      <c r="P6" s="40">
        <f t="shared" si="0"/>
        <v>26</v>
      </c>
      <c r="Q6" s="40">
        <f t="shared" si="0"/>
        <v>35</v>
      </c>
      <c r="R6" s="66">
        <f t="shared" si="0"/>
        <v>44</v>
      </c>
      <c r="S6" s="43">
        <f t="shared" si="0"/>
        <v>4</v>
      </c>
      <c r="T6" s="40">
        <f t="shared" si="0"/>
        <v>24</v>
      </c>
      <c r="U6" s="40">
        <f t="shared" si="0"/>
        <v>31</v>
      </c>
      <c r="V6" s="66">
        <f t="shared" si="0"/>
        <v>51</v>
      </c>
      <c r="W6" s="46">
        <f t="shared" si="1"/>
        <v>11</v>
      </c>
      <c r="X6" s="46">
        <f t="shared" si="1"/>
        <v>23</v>
      </c>
      <c r="Y6" s="46">
        <f t="shared" si="1"/>
        <v>35</v>
      </c>
      <c r="Z6" s="46">
        <f t="shared" si="1"/>
        <v>47</v>
      </c>
      <c r="AA6" s="46">
        <f t="shared" si="1"/>
        <v>11</v>
      </c>
      <c r="AB6" s="46">
        <f t="shared" si="1"/>
        <v>21</v>
      </c>
      <c r="AC6" s="46">
        <f t="shared" si="1"/>
        <v>44</v>
      </c>
      <c r="AD6" s="46">
        <f t="shared" si="1"/>
        <v>2</v>
      </c>
      <c r="AE6" s="46">
        <f t="shared" si="1"/>
        <v>11</v>
      </c>
      <c r="AF6" s="46">
        <f t="shared" si="1"/>
        <v>32</v>
      </c>
      <c r="AG6" s="46">
        <f t="shared" si="1"/>
        <v>35</v>
      </c>
      <c r="AH6" s="46">
        <f t="shared" si="1"/>
        <v>48</v>
      </c>
      <c r="AI6" s="46">
        <f t="shared" si="1"/>
        <v>11</v>
      </c>
      <c r="AJ6" s="46">
        <f t="shared" si="1"/>
        <v>30</v>
      </c>
      <c r="AK6" s="46">
        <f t="shared" si="1"/>
        <v>36</v>
      </c>
      <c r="AL6" s="46">
        <f t="shared" si="1"/>
        <v>3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18</v>
      </c>
      <c r="I7" s="40">
        <f t="shared" si="0"/>
        <v>31</v>
      </c>
      <c r="J7" s="66">
        <f t="shared" si="0"/>
        <v>44</v>
      </c>
      <c r="K7" s="43">
        <f t="shared" si="0"/>
        <v>5</v>
      </c>
      <c r="L7" s="40">
        <f t="shared" si="0"/>
        <v>16</v>
      </c>
      <c r="M7" s="40">
        <f t="shared" si="0"/>
        <v>27</v>
      </c>
      <c r="N7" s="66">
        <f t="shared" si="0"/>
        <v>51</v>
      </c>
      <c r="O7" s="43">
        <f t="shared" si="0"/>
        <v>5</v>
      </c>
      <c r="P7" s="40">
        <f t="shared" si="0"/>
        <v>14</v>
      </c>
      <c r="Q7" s="40">
        <f t="shared" si="0"/>
        <v>36</v>
      </c>
      <c r="R7" s="66">
        <f t="shared" si="0"/>
        <v>45</v>
      </c>
      <c r="S7" s="43">
        <f t="shared" si="0"/>
        <v>5</v>
      </c>
      <c r="T7" s="40">
        <f t="shared" si="0"/>
        <v>25</v>
      </c>
      <c r="U7" s="40">
        <f t="shared" si="0"/>
        <v>32</v>
      </c>
      <c r="V7" s="66">
        <f t="shared" si="0"/>
        <v>52</v>
      </c>
      <c r="W7" s="46">
        <f t="shared" si="1"/>
        <v>12</v>
      </c>
      <c r="X7" s="46">
        <f t="shared" si="1"/>
        <v>24</v>
      </c>
      <c r="Y7" s="46">
        <f t="shared" si="1"/>
        <v>36</v>
      </c>
      <c r="Z7" s="46">
        <f t="shared" si="1"/>
        <v>48</v>
      </c>
      <c r="AA7" s="46">
        <f t="shared" si="1"/>
        <v>12</v>
      </c>
      <c r="AB7" s="46">
        <f t="shared" si="1"/>
        <v>22</v>
      </c>
      <c r="AC7" s="46">
        <f t="shared" si="1"/>
        <v>45</v>
      </c>
      <c r="AD7" s="46">
        <f t="shared" si="1"/>
        <v>3</v>
      </c>
      <c r="AE7" s="46">
        <f t="shared" si="1"/>
        <v>12</v>
      </c>
      <c r="AF7" s="46">
        <f t="shared" si="1"/>
        <v>33</v>
      </c>
      <c r="AG7" s="46">
        <f t="shared" si="1"/>
        <v>36</v>
      </c>
      <c r="AH7" s="46">
        <f t="shared" si="1"/>
        <v>49</v>
      </c>
      <c r="AI7" s="46">
        <f t="shared" si="1"/>
        <v>12</v>
      </c>
      <c r="AJ7" s="46">
        <f t="shared" si="1"/>
        <v>31</v>
      </c>
      <c r="AK7" s="46">
        <f t="shared" si="1"/>
        <v>37</v>
      </c>
      <c r="AL7" s="46">
        <f t="shared" si="1"/>
        <v>4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19</v>
      </c>
      <c r="I8" s="40">
        <f t="shared" si="0"/>
        <v>32</v>
      </c>
      <c r="J8" s="66">
        <f t="shared" si="0"/>
        <v>45</v>
      </c>
      <c r="K8" s="43">
        <f t="shared" si="0"/>
        <v>6</v>
      </c>
      <c r="L8" s="40">
        <f t="shared" si="0"/>
        <v>17</v>
      </c>
      <c r="M8" s="40">
        <f t="shared" si="0"/>
        <v>28</v>
      </c>
      <c r="N8" s="66">
        <f t="shared" si="0"/>
        <v>52</v>
      </c>
      <c r="O8" s="43">
        <f t="shared" si="0"/>
        <v>6</v>
      </c>
      <c r="P8" s="40">
        <f t="shared" si="0"/>
        <v>15</v>
      </c>
      <c r="Q8" s="40">
        <f t="shared" si="0"/>
        <v>37</v>
      </c>
      <c r="R8" s="66">
        <f t="shared" si="0"/>
        <v>46</v>
      </c>
      <c r="S8" s="43">
        <f t="shared" si="0"/>
        <v>6</v>
      </c>
      <c r="T8" s="40">
        <f t="shared" si="0"/>
        <v>26</v>
      </c>
      <c r="U8" s="40">
        <f t="shared" si="0"/>
        <v>33</v>
      </c>
      <c r="V8" s="66">
        <f t="shared" si="0"/>
        <v>40</v>
      </c>
      <c r="W8" s="46">
        <f t="shared" si="1"/>
        <v>13</v>
      </c>
      <c r="X8" s="46">
        <f t="shared" si="1"/>
        <v>25</v>
      </c>
      <c r="Y8" s="46">
        <f t="shared" si="1"/>
        <v>37</v>
      </c>
      <c r="Z8" s="46">
        <f t="shared" si="1"/>
        <v>49</v>
      </c>
      <c r="AA8" s="46">
        <f t="shared" si="1"/>
        <v>13</v>
      </c>
      <c r="AB8" s="46">
        <f t="shared" si="1"/>
        <v>23</v>
      </c>
      <c r="AC8" s="46">
        <f t="shared" si="1"/>
        <v>46</v>
      </c>
      <c r="AD8" s="46">
        <f t="shared" si="1"/>
        <v>4</v>
      </c>
      <c r="AE8" s="46">
        <f t="shared" si="1"/>
        <v>13</v>
      </c>
      <c r="AF8" s="46">
        <f t="shared" si="1"/>
        <v>21</v>
      </c>
      <c r="AG8" s="46">
        <f t="shared" si="1"/>
        <v>37</v>
      </c>
      <c r="AH8" s="46">
        <f t="shared" si="1"/>
        <v>50</v>
      </c>
      <c r="AI8" s="46">
        <f t="shared" si="1"/>
        <v>13</v>
      </c>
      <c r="AJ8" s="46">
        <f t="shared" si="1"/>
        <v>32</v>
      </c>
      <c r="AK8" s="46">
        <f t="shared" si="1"/>
        <v>38</v>
      </c>
      <c r="AL8" s="46">
        <f t="shared" si="1"/>
        <v>5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20</v>
      </c>
      <c r="I9" s="40">
        <f t="shared" si="0"/>
        <v>33</v>
      </c>
      <c r="J9" s="66">
        <f t="shared" si="0"/>
        <v>46</v>
      </c>
      <c r="K9" s="43">
        <f t="shared" si="0"/>
        <v>7</v>
      </c>
      <c r="L9" s="40">
        <f t="shared" si="0"/>
        <v>18</v>
      </c>
      <c r="M9" s="40">
        <f t="shared" si="0"/>
        <v>29</v>
      </c>
      <c r="N9" s="66">
        <f t="shared" si="0"/>
        <v>40</v>
      </c>
      <c r="O9" s="43">
        <f t="shared" si="0"/>
        <v>7</v>
      </c>
      <c r="P9" s="40">
        <f t="shared" si="0"/>
        <v>16</v>
      </c>
      <c r="Q9" s="40">
        <f t="shared" si="0"/>
        <v>38</v>
      </c>
      <c r="R9" s="66">
        <f t="shared" si="0"/>
        <v>47</v>
      </c>
      <c r="S9" s="43">
        <f t="shared" si="0"/>
        <v>7</v>
      </c>
      <c r="T9" s="40">
        <f t="shared" si="0"/>
        <v>14</v>
      </c>
      <c r="U9" s="40">
        <f t="shared" si="0"/>
        <v>34</v>
      </c>
      <c r="V9" s="66">
        <f t="shared" si="0"/>
        <v>41</v>
      </c>
      <c r="W9" s="46">
        <f t="shared" si="1"/>
        <v>14</v>
      </c>
      <c r="X9" s="46">
        <f t="shared" si="1"/>
        <v>26</v>
      </c>
      <c r="Y9" s="46">
        <f t="shared" si="1"/>
        <v>38</v>
      </c>
      <c r="Z9" s="46">
        <f t="shared" si="1"/>
        <v>50</v>
      </c>
      <c r="AA9" s="46">
        <f t="shared" si="1"/>
        <v>14</v>
      </c>
      <c r="AB9" s="46">
        <f t="shared" si="1"/>
        <v>24</v>
      </c>
      <c r="AC9" s="46">
        <f t="shared" si="1"/>
        <v>34</v>
      </c>
      <c r="AD9" s="46">
        <f t="shared" si="1"/>
        <v>5</v>
      </c>
      <c r="AE9" s="46">
        <f t="shared" si="1"/>
        <v>14</v>
      </c>
      <c r="AF9" s="46">
        <f t="shared" si="1"/>
        <v>22</v>
      </c>
      <c r="AG9" s="46">
        <f t="shared" si="1"/>
        <v>38</v>
      </c>
      <c r="AH9" s="46">
        <f t="shared" si="1"/>
        <v>51</v>
      </c>
      <c r="AI9" s="46">
        <f t="shared" si="1"/>
        <v>14</v>
      </c>
      <c r="AJ9" s="46">
        <f t="shared" si="1"/>
        <v>33</v>
      </c>
      <c r="AK9" s="46">
        <f t="shared" si="1"/>
        <v>39</v>
      </c>
      <c r="AL9" s="46">
        <f t="shared" si="1"/>
        <v>6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21</v>
      </c>
      <c r="I10" s="40">
        <f t="shared" si="0"/>
        <v>34</v>
      </c>
      <c r="J10" s="66">
        <f t="shared" si="0"/>
        <v>47</v>
      </c>
      <c r="K10" s="43">
        <f t="shared" si="0"/>
        <v>8</v>
      </c>
      <c r="L10" s="40">
        <f t="shared" si="0"/>
        <v>19</v>
      </c>
      <c r="M10" s="40">
        <f t="shared" si="0"/>
        <v>30</v>
      </c>
      <c r="N10" s="66">
        <f t="shared" si="0"/>
        <v>41</v>
      </c>
      <c r="O10" s="43">
        <f t="shared" si="0"/>
        <v>8</v>
      </c>
      <c r="P10" s="40">
        <f t="shared" si="0"/>
        <v>17</v>
      </c>
      <c r="Q10" s="40">
        <f t="shared" si="0"/>
        <v>39</v>
      </c>
      <c r="R10" s="66">
        <f t="shared" si="0"/>
        <v>48</v>
      </c>
      <c r="S10" s="43">
        <f t="shared" si="0"/>
        <v>8</v>
      </c>
      <c r="T10" s="40">
        <f t="shared" si="0"/>
        <v>15</v>
      </c>
      <c r="U10" s="40">
        <f t="shared" si="0"/>
        <v>35</v>
      </c>
      <c r="V10" s="66">
        <f t="shared" si="0"/>
        <v>42</v>
      </c>
      <c r="W10" s="46">
        <f t="shared" si="1"/>
        <v>15</v>
      </c>
      <c r="X10" s="46">
        <f t="shared" si="1"/>
        <v>27</v>
      </c>
      <c r="Y10" s="46">
        <f t="shared" si="1"/>
        <v>39</v>
      </c>
      <c r="Z10" s="46">
        <f t="shared" si="1"/>
        <v>51</v>
      </c>
      <c r="AA10" s="46">
        <f t="shared" si="1"/>
        <v>15</v>
      </c>
      <c r="AB10" s="46">
        <f t="shared" si="1"/>
        <v>25</v>
      </c>
      <c r="AC10" s="46">
        <f t="shared" si="1"/>
        <v>35</v>
      </c>
      <c r="AD10" s="46">
        <f t="shared" si="1"/>
        <v>6</v>
      </c>
      <c r="AE10" s="46">
        <f t="shared" si="1"/>
        <v>15</v>
      </c>
      <c r="AF10" s="46">
        <f t="shared" si="1"/>
        <v>23</v>
      </c>
      <c r="AG10" s="46">
        <f t="shared" si="1"/>
        <v>39</v>
      </c>
      <c r="AH10" s="46">
        <f t="shared" si="1"/>
        <v>52</v>
      </c>
      <c r="AI10" s="46">
        <f t="shared" si="1"/>
        <v>15</v>
      </c>
      <c r="AJ10" s="46">
        <f t="shared" si="1"/>
        <v>21</v>
      </c>
      <c r="AK10" s="46">
        <f t="shared" si="1"/>
        <v>40</v>
      </c>
      <c r="AL10" s="46">
        <f t="shared" si="1"/>
        <v>7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22</v>
      </c>
      <c r="I11" s="40">
        <f t="shared" si="0"/>
        <v>35</v>
      </c>
      <c r="J11" s="66">
        <f t="shared" si="0"/>
        <v>48</v>
      </c>
      <c r="K11" s="43">
        <f t="shared" si="0"/>
        <v>9</v>
      </c>
      <c r="L11" s="40">
        <f t="shared" si="0"/>
        <v>20</v>
      </c>
      <c r="M11" s="40">
        <f t="shared" si="0"/>
        <v>31</v>
      </c>
      <c r="N11" s="66">
        <f t="shared" si="0"/>
        <v>42</v>
      </c>
      <c r="O11" s="43">
        <f t="shared" si="0"/>
        <v>9</v>
      </c>
      <c r="P11" s="40">
        <f t="shared" si="0"/>
        <v>18</v>
      </c>
      <c r="Q11" s="40">
        <f t="shared" si="0"/>
        <v>27</v>
      </c>
      <c r="R11" s="66">
        <f t="shared" si="0"/>
        <v>49</v>
      </c>
      <c r="S11" s="43">
        <f t="shared" si="0"/>
        <v>9</v>
      </c>
      <c r="T11" s="40">
        <f t="shared" si="0"/>
        <v>16</v>
      </c>
      <c r="U11" s="40">
        <f t="shared" si="0"/>
        <v>36</v>
      </c>
      <c r="V11" s="66">
        <f t="shared" si="0"/>
        <v>43</v>
      </c>
      <c r="W11" s="46">
        <f t="shared" si="1"/>
        <v>16</v>
      </c>
      <c r="X11" s="46">
        <f t="shared" si="1"/>
        <v>28</v>
      </c>
      <c r="Y11" s="46">
        <f t="shared" si="1"/>
        <v>40</v>
      </c>
      <c r="Z11" s="46">
        <f t="shared" si="1"/>
        <v>52</v>
      </c>
      <c r="AA11" s="46">
        <f t="shared" si="1"/>
        <v>16</v>
      </c>
      <c r="AB11" s="46">
        <f t="shared" si="1"/>
        <v>26</v>
      </c>
      <c r="AC11" s="46">
        <f t="shared" si="1"/>
        <v>36</v>
      </c>
      <c r="AD11" s="46">
        <f t="shared" si="1"/>
        <v>7</v>
      </c>
      <c r="AE11" s="46">
        <f t="shared" si="1"/>
        <v>16</v>
      </c>
      <c r="AF11" s="46">
        <f t="shared" si="1"/>
        <v>24</v>
      </c>
      <c r="AG11" s="46">
        <f t="shared" si="1"/>
        <v>40</v>
      </c>
      <c r="AH11" s="46">
        <f t="shared" si="1"/>
        <v>1</v>
      </c>
      <c r="AI11" s="46">
        <f t="shared" si="1"/>
        <v>16</v>
      </c>
      <c r="AJ11" s="46">
        <f t="shared" si="1"/>
        <v>22</v>
      </c>
      <c r="AK11" s="46">
        <f t="shared" si="1"/>
        <v>41</v>
      </c>
      <c r="AL11" s="46">
        <f t="shared" si="1"/>
        <v>47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23</v>
      </c>
      <c r="I12" s="40">
        <f t="shared" si="0"/>
        <v>36</v>
      </c>
      <c r="J12" s="66">
        <f t="shared" si="0"/>
        <v>49</v>
      </c>
      <c r="K12" s="43">
        <f t="shared" si="0"/>
        <v>10</v>
      </c>
      <c r="L12" s="40">
        <f t="shared" si="0"/>
        <v>21</v>
      </c>
      <c r="M12" s="40">
        <f t="shared" si="0"/>
        <v>32</v>
      </c>
      <c r="N12" s="66">
        <f t="shared" si="0"/>
        <v>43</v>
      </c>
      <c r="O12" s="43">
        <f t="shared" si="0"/>
        <v>10</v>
      </c>
      <c r="P12" s="40">
        <f t="shared" si="0"/>
        <v>19</v>
      </c>
      <c r="Q12" s="40">
        <f t="shared" si="0"/>
        <v>28</v>
      </c>
      <c r="R12" s="66">
        <f t="shared" si="0"/>
        <v>50</v>
      </c>
      <c r="S12" s="43">
        <f t="shared" si="0"/>
        <v>10</v>
      </c>
      <c r="T12" s="40">
        <f t="shared" si="0"/>
        <v>17</v>
      </c>
      <c r="U12" s="40">
        <f t="shared" si="0"/>
        <v>37</v>
      </c>
      <c r="V12" s="66">
        <f t="shared" si="0"/>
        <v>44</v>
      </c>
      <c r="W12" s="46">
        <f t="shared" si="1"/>
        <v>17</v>
      </c>
      <c r="X12" s="46">
        <f t="shared" si="1"/>
        <v>29</v>
      </c>
      <c r="Y12" s="46">
        <f t="shared" si="1"/>
        <v>41</v>
      </c>
      <c r="Z12" s="46">
        <f t="shared" si="1"/>
        <v>1</v>
      </c>
      <c r="AA12" s="46">
        <f t="shared" si="1"/>
        <v>17</v>
      </c>
      <c r="AB12" s="46">
        <f t="shared" si="1"/>
        <v>27</v>
      </c>
      <c r="AC12" s="46">
        <f t="shared" si="1"/>
        <v>37</v>
      </c>
      <c r="AD12" s="46">
        <f t="shared" si="1"/>
        <v>47</v>
      </c>
      <c r="AE12" s="46">
        <f t="shared" si="1"/>
        <v>17</v>
      </c>
      <c r="AF12" s="46">
        <f t="shared" si="1"/>
        <v>25</v>
      </c>
      <c r="AG12" s="46">
        <f t="shared" si="1"/>
        <v>41</v>
      </c>
      <c r="AH12" s="46">
        <f t="shared" si="1"/>
        <v>2</v>
      </c>
      <c r="AI12" s="46">
        <f t="shared" si="1"/>
        <v>17</v>
      </c>
      <c r="AJ12" s="46">
        <f t="shared" si="1"/>
        <v>23</v>
      </c>
      <c r="AK12" s="46">
        <f t="shared" si="1"/>
        <v>42</v>
      </c>
      <c r="AL12" s="46">
        <f t="shared" si="1"/>
        <v>48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24</v>
      </c>
      <c r="I13" s="40">
        <f t="shared" si="0"/>
        <v>37</v>
      </c>
      <c r="J13" s="66">
        <f t="shared" si="0"/>
        <v>50</v>
      </c>
      <c r="K13" s="43">
        <f t="shared" si="0"/>
        <v>11</v>
      </c>
      <c r="L13" s="40">
        <f t="shared" si="0"/>
        <v>22</v>
      </c>
      <c r="M13" s="40">
        <f t="shared" si="0"/>
        <v>33</v>
      </c>
      <c r="N13" s="66">
        <f t="shared" si="0"/>
        <v>44</v>
      </c>
      <c r="O13" s="43">
        <f t="shared" si="0"/>
        <v>11</v>
      </c>
      <c r="P13" s="40">
        <f t="shared" si="0"/>
        <v>20</v>
      </c>
      <c r="Q13" s="40">
        <f t="shared" si="0"/>
        <v>29</v>
      </c>
      <c r="R13" s="66">
        <f t="shared" si="0"/>
        <v>51</v>
      </c>
      <c r="S13" s="43">
        <f t="shared" si="0"/>
        <v>11</v>
      </c>
      <c r="T13" s="40">
        <f t="shared" si="0"/>
        <v>18</v>
      </c>
      <c r="U13" s="40">
        <f t="shared" si="0"/>
        <v>38</v>
      </c>
      <c r="V13" s="66">
        <f t="shared" si="0"/>
        <v>45</v>
      </c>
      <c r="W13" s="46">
        <f t="shared" si="1"/>
        <v>18</v>
      </c>
      <c r="X13" s="46">
        <f t="shared" si="1"/>
        <v>30</v>
      </c>
      <c r="Y13" s="46">
        <f t="shared" si="1"/>
        <v>42</v>
      </c>
      <c r="Z13" s="46">
        <f t="shared" si="1"/>
        <v>2</v>
      </c>
      <c r="AA13" s="46">
        <f t="shared" si="1"/>
        <v>18</v>
      </c>
      <c r="AB13" s="46">
        <f t="shared" si="1"/>
        <v>28</v>
      </c>
      <c r="AC13" s="46">
        <f t="shared" si="1"/>
        <v>38</v>
      </c>
      <c r="AD13" s="46">
        <f t="shared" si="1"/>
        <v>48</v>
      </c>
      <c r="AE13" s="46">
        <f t="shared" si="1"/>
        <v>18</v>
      </c>
      <c r="AF13" s="46">
        <f t="shared" si="1"/>
        <v>26</v>
      </c>
      <c r="AG13" s="46">
        <f t="shared" si="1"/>
        <v>42</v>
      </c>
      <c r="AH13" s="46">
        <f t="shared" si="1"/>
        <v>3</v>
      </c>
      <c r="AI13" s="46">
        <f t="shared" si="1"/>
        <v>18</v>
      </c>
      <c r="AJ13" s="46">
        <f t="shared" si="1"/>
        <v>24</v>
      </c>
      <c r="AK13" s="46">
        <f t="shared" si="1"/>
        <v>43</v>
      </c>
      <c r="AL13" s="46">
        <f t="shared" si="1"/>
        <v>49</v>
      </c>
    </row>
    <row r="14" spans="1:38" x14ac:dyDescent="0.35">
      <c r="A14" s="18">
        <v>11</v>
      </c>
      <c r="B14" s="19" t="s">
        <v>18</v>
      </c>
      <c r="D14">
        <f>$B$2/$C$2-$E$2/2+1</f>
        <v>10</v>
      </c>
      <c r="E14">
        <f>$B$2/$C$2+$E$2/2</f>
        <v>17</v>
      </c>
      <c r="G14" s="43">
        <f t="shared" si="0"/>
        <v>12</v>
      </c>
      <c r="H14" s="40">
        <f t="shared" si="0"/>
        <v>25</v>
      </c>
      <c r="I14" s="40">
        <f t="shared" si="0"/>
        <v>38</v>
      </c>
      <c r="J14" s="66">
        <f t="shared" si="0"/>
        <v>51</v>
      </c>
      <c r="K14" s="43">
        <f t="shared" si="0"/>
        <v>12</v>
      </c>
      <c r="L14" s="40">
        <f t="shared" si="0"/>
        <v>23</v>
      </c>
      <c r="M14" s="40">
        <f t="shared" si="0"/>
        <v>34</v>
      </c>
      <c r="N14" s="66">
        <f t="shared" si="0"/>
        <v>45</v>
      </c>
      <c r="O14" s="43">
        <f t="shared" si="0"/>
        <v>12</v>
      </c>
      <c r="P14" s="40">
        <f t="shared" si="0"/>
        <v>21</v>
      </c>
      <c r="Q14" s="40">
        <f t="shared" si="0"/>
        <v>30</v>
      </c>
      <c r="R14" s="66">
        <f t="shared" si="0"/>
        <v>52</v>
      </c>
      <c r="S14" s="43">
        <f t="shared" si="0"/>
        <v>12</v>
      </c>
      <c r="T14" s="40">
        <f t="shared" si="0"/>
        <v>19</v>
      </c>
      <c r="U14" s="40">
        <f t="shared" si="0"/>
        <v>39</v>
      </c>
      <c r="V14" s="66">
        <f t="shared" si="0"/>
        <v>46</v>
      </c>
      <c r="W14" s="46">
        <f t="shared" si="1"/>
        <v>19</v>
      </c>
      <c r="X14" s="46">
        <f t="shared" si="1"/>
        <v>31</v>
      </c>
      <c r="Y14" s="46">
        <f t="shared" si="1"/>
        <v>43</v>
      </c>
      <c r="Z14" s="46">
        <f t="shared" si="1"/>
        <v>3</v>
      </c>
      <c r="AA14" s="46">
        <f t="shared" si="1"/>
        <v>19</v>
      </c>
      <c r="AB14" s="46">
        <f t="shared" si="1"/>
        <v>29</v>
      </c>
      <c r="AC14" s="46">
        <f t="shared" si="1"/>
        <v>39</v>
      </c>
      <c r="AD14" s="46">
        <f t="shared" si="1"/>
        <v>49</v>
      </c>
      <c r="AE14" s="46">
        <f t="shared" si="1"/>
        <v>19</v>
      </c>
      <c r="AF14" s="46">
        <f t="shared" si="1"/>
        <v>27</v>
      </c>
      <c r="AG14" s="46">
        <f t="shared" si="1"/>
        <v>43</v>
      </c>
      <c r="AH14" s="46">
        <f t="shared" si="1"/>
        <v>4</v>
      </c>
      <c r="AI14" s="46">
        <f t="shared" si="1"/>
        <v>19</v>
      </c>
      <c r="AJ14" s="46">
        <f t="shared" si="1"/>
        <v>25</v>
      </c>
      <c r="AK14" s="46">
        <f t="shared" si="1"/>
        <v>44</v>
      </c>
      <c r="AL14" s="46">
        <f t="shared" si="1"/>
        <v>50</v>
      </c>
    </row>
    <row r="15" spans="1:38" x14ac:dyDescent="0.35">
      <c r="A15" s="18">
        <v>12</v>
      </c>
      <c r="B15" s="19" t="s">
        <v>18</v>
      </c>
      <c r="D15">
        <f>2*$B$2/$C$2-$E$2/2+1</f>
        <v>23</v>
      </c>
      <c r="E15">
        <f>2*$B$2/$C$2+$E$2/2</f>
        <v>30</v>
      </c>
      <c r="G15" s="43">
        <f t="shared" si="0"/>
        <v>13</v>
      </c>
      <c r="H15" s="40">
        <f t="shared" si="0"/>
        <v>26</v>
      </c>
      <c r="I15" s="40">
        <f t="shared" si="0"/>
        <v>39</v>
      </c>
      <c r="J15" s="66">
        <f t="shared" si="0"/>
        <v>52</v>
      </c>
      <c r="K15" s="43">
        <f t="shared" si="0"/>
        <v>13</v>
      </c>
      <c r="L15" s="40">
        <f t="shared" si="0"/>
        <v>24</v>
      </c>
      <c r="M15" s="40">
        <f t="shared" si="0"/>
        <v>35</v>
      </c>
      <c r="N15" s="66">
        <f t="shared" si="0"/>
        <v>46</v>
      </c>
      <c r="O15" s="43">
        <f t="shared" si="0"/>
        <v>13</v>
      </c>
      <c r="P15" s="40">
        <f t="shared" si="0"/>
        <v>22</v>
      </c>
      <c r="Q15" s="40">
        <f t="shared" si="0"/>
        <v>31</v>
      </c>
      <c r="R15" s="66">
        <f t="shared" si="0"/>
        <v>40</v>
      </c>
      <c r="S15" s="43">
        <f t="shared" si="0"/>
        <v>13</v>
      </c>
      <c r="T15" s="40">
        <f t="shared" si="0"/>
        <v>20</v>
      </c>
      <c r="U15" s="40">
        <f t="shared" si="0"/>
        <v>27</v>
      </c>
      <c r="V15" s="66">
        <f t="shared" si="0"/>
        <v>47</v>
      </c>
      <c r="W15" s="46">
        <f t="shared" si="1"/>
        <v>20</v>
      </c>
      <c r="X15" s="46">
        <f t="shared" si="1"/>
        <v>32</v>
      </c>
      <c r="Y15" s="46">
        <f t="shared" si="1"/>
        <v>44</v>
      </c>
      <c r="Z15" s="46">
        <f t="shared" si="1"/>
        <v>4</v>
      </c>
      <c r="AA15" s="46">
        <f t="shared" si="1"/>
        <v>20</v>
      </c>
      <c r="AB15" s="46">
        <f t="shared" si="1"/>
        <v>30</v>
      </c>
      <c r="AC15" s="46">
        <f t="shared" si="1"/>
        <v>40</v>
      </c>
      <c r="AD15" s="46">
        <f t="shared" si="1"/>
        <v>50</v>
      </c>
      <c r="AE15" s="46">
        <f t="shared" si="1"/>
        <v>20</v>
      </c>
      <c r="AF15" s="46">
        <f t="shared" si="1"/>
        <v>28</v>
      </c>
      <c r="AG15" s="46">
        <f t="shared" si="1"/>
        <v>44</v>
      </c>
      <c r="AH15" s="46">
        <f t="shared" si="1"/>
        <v>5</v>
      </c>
      <c r="AI15" s="46">
        <f t="shared" si="1"/>
        <v>20</v>
      </c>
      <c r="AJ15" s="46">
        <f t="shared" si="1"/>
        <v>26</v>
      </c>
      <c r="AK15" s="46">
        <f t="shared" si="1"/>
        <v>45</v>
      </c>
      <c r="AL15" s="46">
        <f t="shared" si="1"/>
        <v>51</v>
      </c>
    </row>
    <row r="16" spans="1:38" x14ac:dyDescent="0.35">
      <c r="A16" s="18">
        <v>13</v>
      </c>
      <c r="B16" s="19" t="s">
        <v>18</v>
      </c>
      <c r="D16">
        <f>3*$B$2/$C$2-$E$2/2+1</f>
        <v>36</v>
      </c>
      <c r="E16">
        <f>3*$B$2/$C$2+$E$2/2</f>
        <v>43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50</v>
      </c>
      <c r="E17">
        <f>$B$2</f>
        <v>52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16.5</v>
      </c>
      <c r="E19">
        <f>ROUND($B$2/$C$2+$E$2/2+$B$2/8,0)</f>
        <v>24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29.5</v>
      </c>
      <c r="E20">
        <f>ROUND(2*$B$2/$C$2+$E$2/2+$B$2/8,0)</f>
        <v>37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42.5</v>
      </c>
      <c r="E21">
        <f>ROUND(3*$B$2/$C$2+$E$2/2+$B$2/8,0)</f>
        <v>50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50</v>
      </c>
      <c r="E22">
        <f>$B$2</f>
        <v>52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3.5</v>
      </c>
      <c r="E23">
        <f>ROUND($B$2/$C$2+$E$2/2-$B$2/8,0)</f>
        <v>11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73" priority="6" operator="between">
      <formula>$D$17</formula>
      <formula>$E$17</formula>
    </cfRule>
    <cfRule type="cellIs" dxfId="172" priority="7" operator="between">
      <formula>$D$16</formula>
      <formula>$E$16</formula>
    </cfRule>
    <cfRule type="cellIs" dxfId="171" priority="8" operator="between">
      <formula>$D$15</formula>
      <formula>$E$15</formula>
    </cfRule>
    <cfRule type="cellIs" dxfId="170" priority="9" operator="between">
      <formula>$D$14</formula>
      <formula>$E$14</formula>
    </cfRule>
  </conditionalFormatting>
  <conditionalFormatting sqref="W3:AL22">
    <cfRule type="cellIs" dxfId="169" priority="1" operator="between">
      <formula>$D$23</formula>
      <formula>$E$23</formula>
    </cfRule>
    <cfRule type="cellIs" dxfId="168" priority="2" operator="between">
      <formula>$D$22</formula>
      <formula>$E$22</formula>
    </cfRule>
    <cfRule type="cellIs" dxfId="167" priority="3" operator="between">
      <formula>$D$21</formula>
      <formula>$E$21</formula>
    </cfRule>
    <cfRule type="cellIs" dxfId="166" priority="4" operator="between">
      <formula>$D$20</formula>
      <formula>$E$20</formula>
    </cfRule>
    <cfRule type="cellIs" dxfId="165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31"/>
  <sheetViews>
    <sheetView topLeftCell="A4" zoomScaleNormal="100" zoomScalePageLayoutView="40" workbookViewId="0">
      <selection activeCell="E28" sqref="E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13</v>
      </c>
      <c r="C4" s="58">
        <v>25</v>
      </c>
      <c r="D4" s="59">
        <v>37</v>
      </c>
      <c r="E4" s="57">
        <v>1</v>
      </c>
      <c r="F4" s="58">
        <v>23</v>
      </c>
      <c r="G4" s="86">
        <v>33</v>
      </c>
      <c r="H4" s="59">
        <v>43</v>
      </c>
      <c r="I4" s="57">
        <v>1</v>
      </c>
      <c r="J4" s="58">
        <v>20</v>
      </c>
      <c r="K4" s="58">
        <v>27</v>
      </c>
      <c r="L4" s="90">
        <v>46</v>
      </c>
      <c r="M4" s="57">
        <v>1</v>
      </c>
      <c r="N4" s="86">
        <v>18</v>
      </c>
      <c r="O4" s="58">
        <v>35</v>
      </c>
      <c r="P4" s="59">
        <v>40</v>
      </c>
    </row>
    <row r="5" spans="1:16" x14ac:dyDescent="0.35">
      <c r="A5" s="82">
        <v>2</v>
      </c>
      <c r="B5" s="55">
        <v>14</v>
      </c>
      <c r="C5" s="55">
        <v>26</v>
      </c>
      <c r="D5" s="56">
        <v>38</v>
      </c>
      <c r="E5" s="75">
        <v>2</v>
      </c>
      <c r="F5" s="76">
        <v>24</v>
      </c>
      <c r="G5" s="87">
        <v>34</v>
      </c>
      <c r="H5" s="77">
        <v>44</v>
      </c>
      <c r="I5" s="49">
        <v>2</v>
      </c>
      <c r="J5" s="50">
        <v>21</v>
      </c>
      <c r="K5" s="50">
        <v>28</v>
      </c>
      <c r="L5" s="91">
        <v>47</v>
      </c>
      <c r="M5" s="75">
        <v>2</v>
      </c>
      <c r="N5" s="87">
        <v>19</v>
      </c>
      <c r="O5" s="76">
        <v>36</v>
      </c>
      <c r="P5" s="77">
        <v>41</v>
      </c>
    </row>
    <row r="6" spans="1:16" x14ac:dyDescent="0.35">
      <c r="A6" s="83">
        <v>3</v>
      </c>
      <c r="B6" s="61">
        <v>15</v>
      </c>
      <c r="C6" s="61">
        <v>27</v>
      </c>
      <c r="D6" s="62">
        <v>39</v>
      </c>
      <c r="E6" s="60">
        <v>3</v>
      </c>
      <c r="F6" s="61">
        <v>13</v>
      </c>
      <c r="G6" s="88">
        <v>35</v>
      </c>
      <c r="H6" s="62">
        <v>45</v>
      </c>
      <c r="I6" s="60">
        <v>3</v>
      </c>
      <c r="J6" s="61">
        <v>22</v>
      </c>
      <c r="K6" s="61">
        <v>29</v>
      </c>
      <c r="L6" s="92">
        <v>48</v>
      </c>
      <c r="M6" s="60">
        <v>3</v>
      </c>
      <c r="N6" s="88">
        <v>20</v>
      </c>
      <c r="O6" s="61">
        <v>25</v>
      </c>
      <c r="P6" s="62">
        <v>42</v>
      </c>
    </row>
    <row r="7" spans="1:16" x14ac:dyDescent="0.35">
      <c r="A7" s="82">
        <v>4</v>
      </c>
      <c r="B7" s="55">
        <v>16</v>
      </c>
      <c r="C7" s="55">
        <v>28</v>
      </c>
      <c r="D7" s="56">
        <v>40</v>
      </c>
      <c r="E7" s="75">
        <v>4</v>
      </c>
      <c r="F7" s="76">
        <v>14</v>
      </c>
      <c r="G7" s="87">
        <v>36</v>
      </c>
      <c r="H7" s="77">
        <v>46</v>
      </c>
      <c r="I7" s="49">
        <v>4</v>
      </c>
      <c r="J7" s="50">
        <v>23</v>
      </c>
      <c r="K7" s="50">
        <v>30</v>
      </c>
      <c r="L7" s="91">
        <v>37</v>
      </c>
      <c r="M7" s="75">
        <v>4</v>
      </c>
      <c r="N7" s="87">
        <v>21</v>
      </c>
      <c r="O7" s="76">
        <v>26</v>
      </c>
      <c r="P7" s="77">
        <v>43</v>
      </c>
    </row>
    <row r="8" spans="1:16" x14ac:dyDescent="0.35">
      <c r="A8" s="83">
        <v>5</v>
      </c>
      <c r="B8" s="61">
        <v>17</v>
      </c>
      <c r="C8" s="61">
        <v>29</v>
      </c>
      <c r="D8" s="62">
        <v>41</v>
      </c>
      <c r="E8" s="60">
        <v>5</v>
      </c>
      <c r="F8" s="61">
        <v>15</v>
      </c>
      <c r="G8" s="88">
        <v>25</v>
      </c>
      <c r="H8" s="62">
        <v>47</v>
      </c>
      <c r="I8" s="60">
        <v>5</v>
      </c>
      <c r="J8" s="61">
        <v>24</v>
      </c>
      <c r="K8" s="61">
        <v>31</v>
      </c>
      <c r="L8" s="92">
        <v>38</v>
      </c>
      <c r="M8" s="60">
        <v>5</v>
      </c>
      <c r="N8" s="88">
        <v>22</v>
      </c>
      <c r="O8" s="61">
        <v>27</v>
      </c>
      <c r="P8" s="62">
        <v>44</v>
      </c>
    </row>
    <row r="9" spans="1:16" x14ac:dyDescent="0.35">
      <c r="A9" s="82">
        <v>6</v>
      </c>
      <c r="B9" s="55">
        <v>18</v>
      </c>
      <c r="C9" s="55">
        <v>30</v>
      </c>
      <c r="D9" s="56">
        <v>42</v>
      </c>
      <c r="E9" s="75">
        <v>6</v>
      </c>
      <c r="F9" s="76">
        <v>16</v>
      </c>
      <c r="G9" s="87">
        <v>26</v>
      </c>
      <c r="H9" s="77">
        <v>48</v>
      </c>
      <c r="I9" s="49">
        <v>6</v>
      </c>
      <c r="J9" s="50">
        <v>13</v>
      </c>
      <c r="K9" s="50">
        <v>32</v>
      </c>
      <c r="L9" s="91">
        <v>39</v>
      </c>
      <c r="M9" s="75">
        <v>6</v>
      </c>
      <c r="N9" s="87">
        <v>23</v>
      </c>
      <c r="O9" s="76">
        <v>28</v>
      </c>
      <c r="P9" s="77">
        <v>45</v>
      </c>
    </row>
    <row r="10" spans="1:16" x14ac:dyDescent="0.35">
      <c r="A10" s="83">
        <v>7</v>
      </c>
      <c r="B10" s="61">
        <v>19</v>
      </c>
      <c r="C10" s="61">
        <v>31</v>
      </c>
      <c r="D10" s="62">
        <v>43</v>
      </c>
      <c r="E10" s="60">
        <v>7</v>
      </c>
      <c r="F10" s="61">
        <v>17</v>
      </c>
      <c r="G10" s="88">
        <v>27</v>
      </c>
      <c r="H10" s="62">
        <v>37</v>
      </c>
      <c r="I10" s="60">
        <v>7</v>
      </c>
      <c r="J10" s="61">
        <v>14</v>
      </c>
      <c r="K10" s="61">
        <v>33</v>
      </c>
      <c r="L10" s="92">
        <v>40</v>
      </c>
      <c r="M10" s="60">
        <v>7</v>
      </c>
      <c r="N10" s="88">
        <v>24</v>
      </c>
      <c r="O10" s="61">
        <v>29</v>
      </c>
      <c r="P10" s="62">
        <v>46</v>
      </c>
    </row>
    <row r="11" spans="1:16" x14ac:dyDescent="0.35">
      <c r="A11" s="84">
        <v>8</v>
      </c>
      <c r="B11" s="50">
        <v>20</v>
      </c>
      <c r="C11" s="50">
        <v>32</v>
      </c>
      <c r="D11" s="51">
        <v>44</v>
      </c>
      <c r="E11" s="75">
        <v>8</v>
      </c>
      <c r="F11" s="76">
        <v>18</v>
      </c>
      <c r="G11" s="87">
        <v>28</v>
      </c>
      <c r="H11" s="77">
        <v>38</v>
      </c>
      <c r="I11" s="49">
        <v>8</v>
      </c>
      <c r="J11" s="50">
        <v>15</v>
      </c>
      <c r="K11" s="50">
        <v>34</v>
      </c>
      <c r="L11" s="91">
        <v>41</v>
      </c>
      <c r="M11" s="75">
        <v>8</v>
      </c>
      <c r="N11" s="87">
        <v>13</v>
      </c>
      <c r="O11" s="76">
        <v>30</v>
      </c>
      <c r="P11" s="77">
        <v>47</v>
      </c>
    </row>
    <row r="12" spans="1:16" x14ac:dyDescent="0.35">
      <c r="A12" s="83">
        <v>9</v>
      </c>
      <c r="B12" s="61">
        <v>21</v>
      </c>
      <c r="C12" s="61">
        <v>33</v>
      </c>
      <c r="D12" s="62">
        <v>45</v>
      </c>
      <c r="E12" s="60">
        <v>9</v>
      </c>
      <c r="F12" s="61">
        <v>19</v>
      </c>
      <c r="G12" s="88">
        <v>29</v>
      </c>
      <c r="H12" s="62">
        <v>39</v>
      </c>
      <c r="I12" s="60">
        <v>9</v>
      </c>
      <c r="J12" s="61">
        <v>16</v>
      </c>
      <c r="K12" s="61">
        <v>35</v>
      </c>
      <c r="L12" s="92">
        <v>42</v>
      </c>
      <c r="M12" s="60">
        <v>9</v>
      </c>
      <c r="N12" s="88">
        <v>14</v>
      </c>
      <c r="O12" s="61">
        <v>31</v>
      </c>
      <c r="P12" s="62">
        <v>48</v>
      </c>
    </row>
    <row r="13" spans="1:16" x14ac:dyDescent="0.35">
      <c r="A13" s="84">
        <v>10</v>
      </c>
      <c r="B13" s="50">
        <v>22</v>
      </c>
      <c r="C13" s="50">
        <v>34</v>
      </c>
      <c r="D13" s="51">
        <v>46</v>
      </c>
      <c r="E13" s="75">
        <v>10</v>
      </c>
      <c r="F13" s="76">
        <v>20</v>
      </c>
      <c r="G13" s="87">
        <v>30</v>
      </c>
      <c r="H13" s="77">
        <v>40</v>
      </c>
      <c r="I13" s="49">
        <v>10</v>
      </c>
      <c r="J13" s="50">
        <v>17</v>
      </c>
      <c r="K13" s="50">
        <v>36</v>
      </c>
      <c r="L13" s="91">
        <v>43</v>
      </c>
      <c r="M13" s="75">
        <v>10</v>
      </c>
      <c r="N13" s="87">
        <v>15</v>
      </c>
      <c r="O13" s="76">
        <v>32</v>
      </c>
      <c r="P13" s="77">
        <v>37</v>
      </c>
    </row>
    <row r="14" spans="1:16" x14ac:dyDescent="0.35">
      <c r="A14" s="83">
        <v>11</v>
      </c>
      <c r="B14" s="61">
        <v>23</v>
      </c>
      <c r="C14" s="61">
        <v>35</v>
      </c>
      <c r="D14" s="62">
        <v>47</v>
      </c>
      <c r="E14" s="60">
        <v>11</v>
      </c>
      <c r="F14" s="61">
        <v>21</v>
      </c>
      <c r="G14" s="88">
        <v>31</v>
      </c>
      <c r="H14" s="62">
        <v>41</v>
      </c>
      <c r="I14" s="60">
        <v>11</v>
      </c>
      <c r="J14" s="61">
        <v>18</v>
      </c>
      <c r="K14" s="61">
        <v>25</v>
      </c>
      <c r="L14" s="92">
        <v>44</v>
      </c>
      <c r="M14" s="60">
        <v>11</v>
      </c>
      <c r="N14" s="88">
        <v>16</v>
      </c>
      <c r="O14" s="61">
        <v>33</v>
      </c>
      <c r="P14" s="62">
        <v>38</v>
      </c>
    </row>
    <row r="15" spans="1:16" x14ac:dyDescent="0.35">
      <c r="A15" s="84">
        <v>12</v>
      </c>
      <c r="B15" s="50">
        <v>24</v>
      </c>
      <c r="C15" s="50">
        <v>36</v>
      </c>
      <c r="D15" s="51">
        <v>48</v>
      </c>
      <c r="E15" s="75">
        <v>12</v>
      </c>
      <c r="F15" s="76">
        <v>22</v>
      </c>
      <c r="G15" s="87">
        <v>32</v>
      </c>
      <c r="H15" s="77">
        <v>42</v>
      </c>
      <c r="I15" s="49">
        <v>12</v>
      </c>
      <c r="J15" s="50">
        <v>19</v>
      </c>
      <c r="K15" s="50">
        <v>26</v>
      </c>
      <c r="L15" s="91">
        <v>45</v>
      </c>
      <c r="M15" s="75">
        <v>12</v>
      </c>
      <c r="N15" s="87">
        <v>17</v>
      </c>
      <c r="O15" s="76">
        <v>34</v>
      </c>
      <c r="P15" s="77">
        <v>39</v>
      </c>
    </row>
    <row r="16" spans="1:16" ht="15" thickBot="1" x14ac:dyDescent="0.4"/>
    <row r="17" spans="1:16" x14ac:dyDescent="0.35">
      <c r="A17" s="108" t="s">
        <v>34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</row>
    <row r="18" spans="1:16" ht="5.25" customHeight="1" thickBot="1" x14ac:dyDescent="0.4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</row>
    <row r="19" spans="1:16" ht="15" thickBot="1" x14ac:dyDescent="0.4">
      <c r="A19" s="102" t="s">
        <v>30</v>
      </c>
      <c r="B19" s="103"/>
      <c r="C19" s="103"/>
      <c r="D19" s="104"/>
      <c r="E19" s="105" t="s">
        <v>31</v>
      </c>
      <c r="F19" s="106"/>
      <c r="G19" s="106"/>
      <c r="H19" s="107"/>
      <c r="I19" s="102" t="s">
        <v>32</v>
      </c>
      <c r="J19" s="103"/>
      <c r="K19" s="103"/>
      <c r="L19" s="104"/>
      <c r="M19" s="105" t="s">
        <v>33</v>
      </c>
      <c r="N19" s="106"/>
      <c r="O19" s="106"/>
      <c r="P19" s="107"/>
    </row>
    <row r="20" spans="1:16" x14ac:dyDescent="0.35">
      <c r="A20" s="57">
        <v>7</v>
      </c>
      <c r="B20" s="86">
        <v>30</v>
      </c>
      <c r="C20" s="58">
        <v>41</v>
      </c>
      <c r="D20" s="59">
        <v>4</v>
      </c>
      <c r="E20" s="57">
        <v>7</v>
      </c>
      <c r="F20" s="58">
        <v>28</v>
      </c>
      <c r="G20" s="58">
        <v>37</v>
      </c>
      <c r="H20" s="90">
        <v>46</v>
      </c>
      <c r="I20" s="57">
        <v>7</v>
      </c>
      <c r="J20" s="58">
        <v>27</v>
      </c>
      <c r="K20" s="86">
        <v>35</v>
      </c>
      <c r="L20" s="59">
        <v>43</v>
      </c>
      <c r="M20" s="81">
        <v>7</v>
      </c>
      <c r="N20" s="58">
        <v>25</v>
      </c>
      <c r="O20" s="58">
        <v>31</v>
      </c>
      <c r="P20" s="59">
        <v>1</v>
      </c>
    </row>
    <row r="21" spans="1:16" x14ac:dyDescent="0.35">
      <c r="A21" s="94">
        <v>8</v>
      </c>
      <c r="B21" s="95">
        <v>19</v>
      </c>
      <c r="C21" s="55">
        <v>42</v>
      </c>
      <c r="D21" s="56">
        <v>5</v>
      </c>
      <c r="E21" s="75">
        <v>8</v>
      </c>
      <c r="F21" s="76">
        <v>29</v>
      </c>
      <c r="G21" s="76">
        <v>38</v>
      </c>
      <c r="H21" s="98">
        <v>47</v>
      </c>
      <c r="I21" s="49">
        <v>8</v>
      </c>
      <c r="J21" s="50">
        <v>28</v>
      </c>
      <c r="K21" s="96">
        <v>36</v>
      </c>
      <c r="L21" s="51">
        <v>44</v>
      </c>
      <c r="M21" s="100">
        <v>8</v>
      </c>
      <c r="N21" s="76">
        <v>26</v>
      </c>
      <c r="O21" s="76">
        <v>32</v>
      </c>
      <c r="P21" s="77">
        <v>2</v>
      </c>
    </row>
    <row r="22" spans="1:16" x14ac:dyDescent="0.35">
      <c r="A22" s="60">
        <v>9</v>
      </c>
      <c r="B22" s="88">
        <v>20</v>
      </c>
      <c r="C22" s="61">
        <v>31</v>
      </c>
      <c r="D22" s="62">
        <v>6</v>
      </c>
      <c r="E22" s="60">
        <v>9</v>
      </c>
      <c r="F22" s="61">
        <v>30</v>
      </c>
      <c r="G22" s="61">
        <v>39</v>
      </c>
      <c r="H22" s="92">
        <v>48</v>
      </c>
      <c r="I22" s="60">
        <v>9</v>
      </c>
      <c r="J22" s="61">
        <v>29</v>
      </c>
      <c r="K22" s="88">
        <v>37</v>
      </c>
      <c r="L22" s="62">
        <v>45</v>
      </c>
      <c r="M22" s="83">
        <v>9</v>
      </c>
      <c r="N22" s="61">
        <v>27</v>
      </c>
      <c r="O22" s="61">
        <v>33</v>
      </c>
      <c r="P22" s="62">
        <v>3</v>
      </c>
    </row>
    <row r="23" spans="1:16" x14ac:dyDescent="0.35">
      <c r="A23" s="94">
        <v>10</v>
      </c>
      <c r="B23" s="95">
        <v>21</v>
      </c>
      <c r="C23" s="55">
        <v>32</v>
      </c>
      <c r="D23" s="56">
        <v>43</v>
      </c>
      <c r="E23" s="75">
        <v>10</v>
      </c>
      <c r="F23" s="76">
        <v>19</v>
      </c>
      <c r="G23" s="76">
        <v>40</v>
      </c>
      <c r="H23" s="98">
        <v>1</v>
      </c>
      <c r="I23" s="49">
        <v>10</v>
      </c>
      <c r="J23" s="50">
        <v>30</v>
      </c>
      <c r="K23" s="96">
        <v>38</v>
      </c>
      <c r="L23" s="51">
        <v>46</v>
      </c>
      <c r="M23" s="100">
        <v>10</v>
      </c>
      <c r="N23" s="76">
        <v>28</v>
      </c>
      <c r="O23" s="76">
        <v>34</v>
      </c>
      <c r="P23" s="77">
        <v>4</v>
      </c>
    </row>
    <row r="24" spans="1:16" x14ac:dyDescent="0.35">
      <c r="A24" s="60">
        <v>11</v>
      </c>
      <c r="B24" s="88">
        <v>22</v>
      </c>
      <c r="C24" s="61">
        <v>33</v>
      </c>
      <c r="D24" s="62">
        <v>44</v>
      </c>
      <c r="E24" s="60">
        <v>11</v>
      </c>
      <c r="F24" s="61">
        <v>20</v>
      </c>
      <c r="G24" s="61">
        <v>41</v>
      </c>
      <c r="H24" s="92">
        <v>2</v>
      </c>
      <c r="I24" s="60">
        <v>11</v>
      </c>
      <c r="J24" s="61">
        <v>19</v>
      </c>
      <c r="K24" s="88">
        <v>39</v>
      </c>
      <c r="L24" s="62">
        <v>47</v>
      </c>
      <c r="M24" s="83">
        <v>11</v>
      </c>
      <c r="N24" s="61">
        <v>29</v>
      </c>
      <c r="O24" s="61">
        <v>35</v>
      </c>
      <c r="P24" s="62">
        <v>5</v>
      </c>
    </row>
    <row r="25" spans="1:16" x14ac:dyDescent="0.35">
      <c r="A25" s="94">
        <v>12</v>
      </c>
      <c r="B25" s="95">
        <v>23</v>
      </c>
      <c r="C25" s="55">
        <v>34</v>
      </c>
      <c r="D25" s="56">
        <v>45</v>
      </c>
      <c r="E25" s="75">
        <v>12</v>
      </c>
      <c r="F25" s="76">
        <v>21</v>
      </c>
      <c r="G25" s="76">
        <v>42</v>
      </c>
      <c r="H25" s="98">
        <v>3</v>
      </c>
      <c r="I25" s="49">
        <v>12</v>
      </c>
      <c r="J25" s="50">
        <v>20</v>
      </c>
      <c r="K25" s="96">
        <v>40</v>
      </c>
      <c r="L25" s="51">
        <v>48</v>
      </c>
      <c r="M25" s="100">
        <v>12</v>
      </c>
      <c r="N25" s="76">
        <v>30</v>
      </c>
      <c r="O25" s="76">
        <v>36</v>
      </c>
      <c r="P25" s="77">
        <v>6</v>
      </c>
    </row>
    <row r="26" spans="1:16" x14ac:dyDescent="0.35">
      <c r="A26" s="60">
        <v>13</v>
      </c>
      <c r="B26" s="88">
        <v>24</v>
      </c>
      <c r="C26" s="61">
        <v>35</v>
      </c>
      <c r="D26" s="62">
        <v>46</v>
      </c>
      <c r="E26" s="60">
        <v>13</v>
      </c>
      <c r="F26" s="61">
        <v>22</v>
      </c>
      <c r="G26" s="61">
        <v>31</v>
      </c>
      <c r="H26" s="92">
        <v>4</v>
      </c>
      <c r="I26" s="60">
        <v>13</v>
      </c>
      <c r="J26" s="61">
        <v>21</v>
      </c>
      <c r="K26" s="88">
        <v>41</v>
      </c>
      <c r="L26" s="62">
        <v>1</v>
      </c>
      <c r="M26" s="83">
        <v>13</v>
      </c>
      <c r="N26" s="61">
        <v>19</v>
      </c>
      <c r="O26" s="61">
        <v>37</v>
      </c>
      <c r="P26" s="62">
        <v>43</v>
      </c>
    </row>
    <row r="27" spans="1:16" x14ac:dyDescent="0.35">
      <c r="A27" s="49">
        <v>14</v>
      </c>
      <c r="B27" s="96">
        <v>25</v>
      </c>
      <c r="C27" s="50">
        <v>36</v>
      </c>
      <c r="D27" s="51">
        <v>47</v>
      </c>
      <c r="E27" s="75">
        <v>14</v>
      </c>
      <c r="F27" s="76">
        <v>23</v>
      </c>
      <c r="G27" s="76">
        <v>32</v>
      </c>
      <c r="H27" s="98">
        <v>5</v>
      </c>
      <c r="I27" s="49">
        <v>14</v>
      </c>
      <c r="J27" s="50">
        <v>22</v>
      </c>
      <c r="K27" s="96">
        <v>42</v>
      </c>
      <c r="L27" s="51">
        <v>2</v>
      </c>
      <c r="M27" s="100">
        <v>14</v>
      </c>
      <c r="N27" s="76">
        <v>20</v>
      </c>
      <c r="O27" s="76">
        <v>38</v>
      </c>
      <c r="P27" s="77">
        <v>44</v>
      </c>
    </row>
    <row r="28" spans="1:16" x14ac:dyDescent="0.35">
      <c r="A28" s="60">
        <v>15</v>
      </c>
      <c r="B28" s="88">
        <v>26</v>
      </c>
      <c r="C28" s="61">
        <v>37</v>
      </c>
      <c r="D28" s="62">
        <v>48</v>
      </c>
      <c r="E28" s="60">
        <v>15</v>
      </c>
      <c r="F28" s="61">
        <v>24</v>
      </c>
      <c r="G28" s="61">
        <v>33</v>
      </c>
      <c r="H28" s="92">
        <v>6</v>
      </c>
      <c r="I28" s="60">
        <v>15</v>
      </c>
      <c r="J28" s="61">
        <v>23</v>
      </c>
      <c r="K28" s="88">
        <v>31</v>
      </c>
      <c r="L28" s="62">
        <v>3</v>
      </c>
      <c r="M28" s="83">
        <v>15</v>
      </c>
      <c r="N28" s="61">
        <v>21</v>
      </c>
      <c r="O28" s="61">
        <v>39</v>
      </c>
      <c r="P28" s="62">
        <v>45</v>
      </c>
    </row>
    <row r="29" spans="1:16" x14ac:dyDescent="0.35">
      <c r="A29" s="49">
        <v>16</v>
      </c>
      <c r="B29" s="96">
        <v>27</v>
      </c>
      <c r="C29" s="50">
        <v>38</v>
      </c>
      <c r="D29" s="51">
        <v>1</v>
      </c>
      <c r="E29" s="75">
        <v>16</v>
      </c>
      <c r="F29" s="76">
        <v>25</v>
      </c>
      <c r="G29" s="76">
        <v>34</v>
      </c>
      <c r="H29" s="98">
        <v>43</v>
      </c>
      <c r="I29" s="49">
        <v>16</v>
      </c>
      <c r="J29" s="50">
        <v>24</v>
      </c>
      <c r="K29" s="96">
        <v>32</v>
      </c>
      <c r="L29" s="51">
        <v>4</v>
      </c>
      <c r="M29" s="100">
        <v>16</v>
      </c>
      <c r="N29" s="76">
        <v>22</v>
      </c>
      <c r="O29" s="76">
        <v>40</v>
      </c>
      <c r="P29" s="77">
        <v>46</v>
      </c>
    </row>
    <row r="30" spans="1:16" x14ac:dyDescent="0.35">
      <c r="A30" s="60">
        <v>17</v>
      </c>
      <c r="B30" s="88">
        <v>28</v>
      </c>
      <c r="C30" s="61">
        <v>39</v>
      </c>
      <c r="D30" s="62">
        <v>2</v>
      </c>
      <c r="E30" s="60">
        <v>17</v>
      </c>
      <c r="F30" s="61">
        <v>26</v>
      </c>
      <c r="G30" s="61">
        <v>35</v>
      </c>
      <c r="H30" s="92">
        <v>44</v>
      </c>
      <c r="I30" s="60">
        <v>17</v>
      </c>
      <c r="J30" s="61">
        <v>25</v>
      </c>
      <c r="K30" s="88">
        <v>33</v>
      </c>
      <c r="L30" s="62">
        <v>5</v>
      </c>
      <c r="M30" s="83">
        <v>17</v>
      </c>
      <c r="N30" s="61">
        <v>23</v>
      </c>
      <c r="O30" s="61">
        <v>41</v>
      </c>
      <c r="P30" s="62">
        <v>47</v>
      </c>
    </row>
    <row r="31" spans="1:16" x14ac:dyDescent="0.35">
      <c r="A31" s="49">
        <v>18</v>
      </c>
      <c r="B31" s="96">
        <v>29</v>
      </c>
      <c r="C31" s="50">
        <v>40</v>
      </c>
      <c r="D31" s="51">
        <v>3</v>
      </c>
      <c r="E31" s="75">
        <v>18</v>
      </c>
      <c r="F31" s="76">
        <v>27</v>
      </c>
      <c r="G31" s="76">
        <v>36</v>
      </c>
      <c r="H31" s="98">
        <v>45</v>
      </c>
      <c r="I31" s="49">
        <v>18</v>
      </c>
      <c r="J31" s="50">
        <v>26</v>
      </c>
      <c r="K31" s="96">
        <v>34</v>
      </c>
      <c r="L31" s="51">
        <v>6</v>
      </c>
      <c r="M31" s="100">
        <v>18</v>
      </c>
      <c r="N31" s="76">
        <v>24</v>
      </c>
      <c r="O31" s="76">
        <v>42</v>
      </c>
      <c r="P31" s="77">
        <v>48</v>
      </c>
    </row>
  </sheetData>
  <mergeCells count="10">
    <mergeCell ref="A19:D19"/>
    <mergeCell ref="E19:H19"/>
    <mergeCell ref="I19:L19"/>
    <mergeCell ref="M19:P19"/>
    <mergeCell ref="A1:P2"/>
    <mergeCell ref="A3:D3"/>
    <mergeCell ref="E3:H3"/>
    <mergeCell ref="I3:L3"/>
    <mergeCell ref="M3:P3"/>
    <mergeCell ref="A17:P18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82"/>
  <sheetViews>
    <sheetView topLeftCell="O1" workbookViewId="0">
      <selection activeCell="W3" sqref="W3:AL14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3</v>
      </c>
      <c r="D1">
        <f>FLOOR(3*$B$2/32,1)</f>
        <v>4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5</v>
      </c>
      <c r="P1" s="9">
        <v>5</v>
      </c>
      <c r="Q1" s="9">
        <v>5</v>
      </c>
      <c r="R1" s="10">
        <v>5</v>
      </c>
      <c r="S1">
        <v>7</v>
      </c>
      <c r="T1">
        <v>7</v>
      </c>
      <c r="U1">
        <v>7</v>
      </c>
      <c r="V1">
        <v>7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4</v>
      </c>
      <c r="AF1" s="9">
        <v>4</v>
      </c>
      <c r="AG1" s="9">
        <v>4</v>
      </c>
      <c r="AH1" s="10">
        <v>4</v>
      </c>
      <c r="AI1">
        <v>6</v>
      </c>
      <c r="AJ1">
        <v>6</v>
      </c>
      <c r="AK1">
        <v>6</v>
      </c>
      <c r="AL1">
        <v>6</v>
      </c>
    </row>
    <row r="2" spans="1:38" ht="15" thickBot="1" x14ac:dyDescent="0.4">
      <c r="A2">
        <f>CEILING(COUNTA(B3:B83)/4,1)*4</f>
        <v>80</v>
      </c>
      <c r="B2">
        <v>48</v>
      </c>
      <c r="C2">
        <v>4</v>
      </c>
      <c r="D2">
        <v>8</v>
      </c>
      <c r="E2">
        <v>8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4" si="0">MOD($A3-G$1*G$2,$B$2/4)+G$2*$B$2/4+1</f>
        <v>1</v>
      </c>
      <c r="H3" s="64">
        <f t="shared" si="0"/>
        <v>13</v>
      </c>
      <c r="I3" s="64">
        <f t="shared" si="0"/>
        <v>25</v>
      </c>
      <c r="J3" s="65">
        <f t="shared" si="0"/>
        <v>37</v>
      </c>
      <c r="K3" s="63">
        <f t="shared" si="0"/>
        <v>1</v>
      </c>
      <c r="L3" s="64">
        <f t="shared" si="0"/>
        <v>23</v>
      </c>
      <c r="M3" s="64">
        <f t="shared" si="0"/>
        <v>33</v>
      </c>
      <c r="N3" s="65">
        <f t="shared" si="0"/>
        <v>43</v>
      </c>
      <c r="O3" s="63">
        <f t="shared" si="0"/>
        <v>1</v>
      </c>
      <c r="P3" s="64">
        <f t="shared" si="0"/>
        <v>20</v>
      </c>
      <c r="Q3" s="64">
        <f t="shared" si="0"/>
        <v>27</v>
      </c>
      <c r="R3" s="65">
        <f t="shared" si="0"/>
        <v>46</v>
      </c>
      <c r="S3" s="63">
        <f t="shared" si="0"/>
        <v>1</v>
      </c>
      <c r="T3" s="64">
        <f t="shared" si="0"/>
        <v>18</v>
      </c>
      <c r="U3" s="64">
        <f t="shared" si="0"/>
        <v>35</v>
      </c>
      <c r="V3" s="65">
        <f t="shared" si="0"/>
        <v>40</v>
      </c>
      <c r="W3" s="46">
        <f t="shared" ref="W3:AL14" si="1">MOD(MOD($A3-W$1*W$2,$B$2/4)+W$2*$B$2/4+ROUND($B$2/8,0),$B$2)+1</f>
        <v>7</v>
      </c>
      <c r="X3" s="46">
        <f t="shared" si="1"/>
        <v>30</v>
      </c>
      <c r="Y3" s="46">
        <f t="shared" si="1"/>
        <v>41</v>
      </c>
      <c r="Z3" s="46">
        <f t="shared" si="1"/>
        <v>4</v>
      </c>
      <c r="AA3" s="46">
        <f t="shared" si="1"/>
        <v>7</v>
      </c>
      <c r="AB3" s="46">
        <f t="shared" si="1"/>
        <v>28</v>
      </c>
      <c r="AC3" s="46">
        <f t="shared" si="1"/>
        <v>37</v>
      </c>
      <c r="AD3" s="46">
        <f t="shared" si="1"/>
        <v>46</v>
      </c>
      <c r="AE3" s="46">
        <f t="shared" si="1"/>
        <v>7</v>
      </c>
      <c r="AF3" s="46">
        <f t="shared" si="1"/>
        <v>27</v>
      </c>
      <c r="AG3" s="46">
        <f t="shared" si="1"/>
        <v>35</v>
      </c>
      <c r="AH3" s="46">
        <f t="shared" si="1"/>
        <v>43</v>
      </c>
      <c r="AI3" s="46">
        <f t="shared" si="1"/>
        <v>7</v>
      </c>
      <c r="AJ3" s="46">
        <f t="shared" si="1"/>
        <v>25</v>
      </c>
      <c r="AK3" s="46">
        <f t="shared" si="1"/>
        <v>31</v>
      </c>
      <c r="AL3" s="46">
        <f t="shared" si="1"/>
        <v>1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14</v>
      </c>
      <c r="I4" s="40">
        <f t="shared" si="0"/>
        <v>26</v>
      </c>
      <c r="J4" s="66">
        <f t="shared" si="0"/>
        <v>38</v>
      </c>
      <c r="K4" s="43">
        <f t="shared" si="0"/>
        <v>2</v>
      </c>
      <c r="L4" s="40">
        <f t="shared" si="0"/>
        <v>24</v>
      </c>
      <c r="M4" s="40">
        <f t="shared" si="0"/>
        <v>34</v>
      </c>
      <c r="N4" s="66">
        <f t="shared" si="0"/>
        <v>44</v>
      </c>
      <c r="O4" s="43">
        <f t="shared" si="0"/>
        <v>2</v>
      </c>
      <c r="P4" s="40">
        <f t="shared" si="0"/>
        <v>21</v>
      </c>
      <c r="Q4" s="40">
        <f t="shared" si="0"/>
        <v>28</v>
      </c>
      <c r="R4" s="66">
        <f t="shared" si="0"/>
        <v>47</v>
      </c>
      <c r="S4" s="43">
        <f t="shared" si="0"/>
        <v>2</v>
      </c>
      <c r="T4" s="40">
        <f t="shared" si="0"/>
        <v>19</v>
      </c>
      <c r="U4" s="40">
        <f t="shared" si="0"/>
        <v>36</v>
      </c>
      <c r="V4" s="66">
        <f t="shared" si="0"/>
        <v>41</v>
      </c>
      <c r="W4" s="46">
        <f t="shared" si="1"/>
        <v>8</v>
      </c>
      <c r="X4" s="46">
        <f t="shared" si="1"/>
        <v>19</v>
      </c>
      <c r="Y4" s="46">
        <f t="shared" si="1"/>
        <v>42</v>
      </c>
      <c r="Z4" s="46">
        <f t="shared" si="1"/>
        <v>5</v>
      </c>
      <c r="AA4" s="46">
        <f t="shared" si="1"/>
        <v>8</v>
      </c>
      <c r="AB4" s="46">
        <f t="shared" si="1"/>
        <v>29</v>
      </c>
      <c r="AC4" s="46">
        <f t="shared" si="1"/>
        <v>38</v>
      </c>
      <c r="AD4" s="46">
        <f t="shared" si="1"/>
        <v>47</v>
      </c>
      <c r="AE4" s="46">
        <f t="shared" si="1"/>
        <v>8</v>
      </c>
      <c r="AF4" s="46">
        <f t="shared" si="1"/>
        <v>28</v>
      </c>
      <c r="AG4" s="46">
        <f t="shared" si="1"/>
        <v>36</v>
      </c>
      <c r="AH4" s="46">
        <f t="shared" si="1"/>
        <v>44</v>
      </c>
      <c r="AI4" s="46">
        <f t="shared" si="1"/>
        <v>8</v>
      </c>
      <c r="AJ4" s="46">
        <f t="shared" si="1"/>
        <v>26</v>
      </c>
      <c r="AK4" s="46">
        <f t="shared" si="1"/>
        <v>32</v>
      </c>
      <c r="AL4" s="46">
        <f t="shared" si="1"/>
        <v>2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15</v>
      </c>
      <c r="I5" s="40">
        <f t="shared" si="0"/>
        <v>27</v>
      </c>
      <c r="J5" s="66">
        <f t="shared" si="0"/>
        <v>39</v>
      </c>
      <c r="K5" s="43">
        <f t="shared" si="0"/>
        <v>3</v>
      </c>
      <c r="L5" s="40">
        <f t="shared" si="0"/>
        <v>13</v>
      </c>
      <c r="M5" s="40">
        <f t="shared" si="0"/>
        <v>35</v>
      </c>
      <c r="N5" s="66">
        <f t="shared" si="0"/>
        <v>45</v>
      </c>
      <c r="O5" s="43">
        <f t="shared" si="0"/>
        <v>3</v>
      </c>
      <c r="P5" s="40">
        <f t="shared" si="0"/>
        <v>22</v>
      </c>
      <c r="Q5" s="40">
        <f t="shared" si="0"/>
        <v>29</v>
      </c>
      <c r="R5" s="66">
        <f t="shared" si="0"/>
        <v>48</v>
      </c>
      <c r="S5" s="43">
        <f t="shared" si="0"/>
        <v>3</v>
      </c>
      <c r="T5" s="40">
        <f t="shared" si="0"/>
        <v>20</v>
      </c>
      <c r="U5" s="40">
        <f t="shared" si="0"/>
        <v>25</v>
      </c>
      <c r="V5" s="66">
        <f t="shared" si="0"/>
        <v>42</v>
      </c>
      <c r="W5" s="46">
        <f t="shared" si="1"/>
        <v>9</v>
      </c>
      <c r="X5" s="46">
        <f t="shared" si="1"/>
        <v>20</v>
      </c>
      <c r="Y5" s="46">
        <f t="shared" si="1"/>
        <v>31</v>
      </c>
      <c r="Z5" s="46">
        <f t="shared" si="1"/>
        <v>6</v>
      </c>
      <c r="AA5" s="46">
        <f t="shared" si="1"/>
        <v>9</v>
      </c>
      <c r="AB5" s="46">
        <f t="shared" si="1"/>
        <v>30</v>
      </c>
      <c r="AC5" s="46">
        <f t="shared" si="1"/>
        <v>39</v>
      </c>
      <c r="AD5" s="46">
        <f t="shared" si="1"/>
        <v>48</v>
      </c>
      <c r="AE5" s="46">
        <f t="shared" si="1"/>
        <v>9</v>
      </c>
      <c r="AF5" s="46">
        <f t="shared" si="1"/>
        <v>29</v>
      </c>
      <c r="AG5" s="46">
        <f t="shared" si="1"/>
        <v>37</v>
      </c>
      <c r="AH5" s="46">
        <f t="shared" si="1"/>
        <v>45</v>
      </c>
      <c r="AI5" s="46">
        <f t="shared" si="1"/>
        <v>9</v>
      </c>
      <c r="AJ5" s="46">
        <f t="shared" si="1"/>
        <v>27</v>
      </c>
      <c r="AK5" s="46">
        <f t="shared" si="1"/>
        <v>33</v>
      </c>
      <c r="AL5" s="46">
        <f t="shared" si="1"/>
        <v>3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16</v>
      </c>
      <c r="I6" s="40">
        <f t="shared" si="0"/>
        <v>28</v>
      </c>
      <c r="J6" s="66">
        <f t="shared" si="0"/>
        <v>40</v>
      </c>
      <c r="K6" s="43">
        <f t="shared" si="0"/>
        <v>4</v>
      </c>
      <c r="L6" s="40">
        <f t="shared" si="0"/>
        <v>14</v>
      </c>
      <c r="M6" s="40">
        <f t="shared" si="0"/>
        <v>36</v>
      </c>
      <c r="N6" s="66">
        <f t="shared" si="0"/>
        <v>46</v>
      </c>
      <c r="O6" s="43">
        <f t="shared" si="0"/>
        <v>4</v>
      </c>
      <c r="P6" s="40">
        <f t="shared" si="0"/>
        <v>23</v>
      </c>
      <c r="Q6" s="40">
        <f t="shared" si="0"/>
        <v>30</v>
      </c>
      <c r="R6" s="66">
        <f t="shared" si="0"/>
        <v>37</v>
      </c>
      <c r="S6" s="43">
        <f t="shared" si="0"/>
        <v>4</v>
      </c>
      <c r="T6" s="40">
        <f t="shared" si="0"/>
        <v>21</v>
      </c>
      <c r="U6" s="40">
        <f t="shared" si="0"/>
        <v>26</v>
      </c>
      <c r="V6" s="66">
        <f t="shared" si="0"/>
        <v>43</v>
      </c>
      <c r="W6" s="46">
        <f t="shared" si="1"/>
        <v>10</v>
      </c>
      <c r="X6" s="46">
        <f t="shared" si="1"/>
        <v>21</v>
      </c>
      <c r="Y6" s="46">
        <f t="shared" si="1"/>
        <v>32</v>
      </c>
      <c r="Z6" s="46">
        <f t="shared" si="1"/>
        <v>43</v>
      </c>
      <c r="AA6" s="46">
        <f t="shared" si="1"/>
        <v>10</v>
      </c>
      <c r="AB6" s="46">
        <f t="shared" si="1"/>
        <v>19</v>
      </c>
      <c r="AC6" s="46">
        <f t="shared" si="1"/>
        <v>40</v>
      </c>
      <c r="AD6" s="46">
        <f t="shared" si="1"/>
        <v>1</v>
      </c>
      <c r="AE6" s="46">
        <f t="shared" si="1"/>
        <v>10</v>
      </c>
      <c r="AF6" s="46">
        <f t="shared" si="1"/>
        <v>30</v>
      </c>
      <c r="AG6" s="46">
        <f t="shared" si="1"/>
        <v>38</v>
      </c>
      <c r="AH6" s="46">
        <f t="shared" si="1"/>
        <v>46</v>
      </c>
      <c r="AI6" s="46">
        <f t="shared" si="1"/>
        <v>10</v>
      </c>
      <c r="AJ6" s="46">
        <f t="shared" si="1"/>
        <v>28</v>
      </c>
      <c r="AK6" s="46">
        <f t="shared" si="1"/>
        <v>34</v>
      </c>
      <c r="AL6" s="46">
        <f t="shared" si="1"/>
        <v>4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17</v>
      </c>
      <c r="I7" s="40">
        <f t="shared" si="0"/>
        <v>29</v>
      </c>
      <c r="J7" s="66">
        <f t="shared" si="0"/>
        <v>41</v>
      </c>
      <c r="K7" s="43">
        <f t="shared" si="0"/>
        <v>5</v>
      </c>
      <c r="L7" s="40">
        <f t="shared" si="0"/>
        <v>15</v>
      </c>
      <c r="M7" s="40">
        <f t="shared" si="0"/>
        <v>25</v>
      </c>
      <c r="N7" s="66">
        <f t="shared" si="0"/>
        <v>47</v>
      </c>
      <c r="O7" s="43">
        <f t="shared" si="0"/>
        <v>5</v>
      </c>
      <c r="P7" s="40">
        <f t="shared" si="0"/>
        <v>24</v>
      </c>
      <c r="Q7" s="40">
        <f t="shared" si="0"/>
        <v>31</v>
      </c>
      <c r="R7" s="66">
        <f t="shared" si="0"/>
        <v>38</v>
      </c>
      <c r="S7" s="43">
        <f t="shared" si="0"/>
        <v>5</v>
      </c>
      <c r="T7" s="40">
        <f t="shared" si="0"/>
        <v>22</v>
      </c>
      <c r="U7" s="40">
        <f t="shared" si="0"/>
        <v>27</v>
      </c>
      <c r="V7" s="66">
        <f t="shared" si="0"/>
        <v>44</v>
      </c>
      <c r="W7" s="46">
        <f t="shared" si="1"/>
        <v>11</v>
      </c>
      <c r="X7" s="46">
        <f t="shared" si="1"/>
        <v>22</v>
      </c>
      <c r="Y7" s="46">
        <f t="shared" si="1"/>
        <v>33</v>
      </c>
      <c r="Z7" s="46">
        <f t="shared" si="1"/>
        <v>44</v>
      </c>
      <c r="AA7" s="46">
        <f t="shared" si="1"/>
        <v>11</v>
      </c>
      <c r="AB7" s="46">
        <f t="shared" si="1"/>
        <v>20</v>
      </c>
      <c r="AC7" s="46">
        <f t="shared" si="1"/>
        <v>41</v>
      </c>
      <c r="AD7" s="46">
        <f t="shared" si="1"/>
        <v>2</v>
      </c>
      <c r="AE7" s="46">
        <f t="shared" si="1"/>
        <v>11</v>
      </c>
      <c r="AF7" s="46">
        <f t="shared" si="1"/>
        <v>19</v>
      </c>
      <c r="AG7" s="46">
        <f t="shared" si="1"/>
        <v>39</v>
      </c>
      <c r="AH7" s="46">
        <f t="shared" si="1"/>
        <v>47</v>
      </c>
      <c r="AI7" s="46">
        <f t="shared" si="1"/>
        <v>11</v>
      </c>
      <c r="AJ7" s="46">
        <f t="shared" si="1"/>
        <v>29</v>
      </c>
      <c r="AK7" s="46">
        <f t="shared" si="1"/>
        <v>35</v>
      </c>
      <c r="AL7" s="46">
        <f t="shared" si="1"/>
        <v>5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18</v>
      </c>
      <c r="I8" s="40">
        <f t="shared" si="0"/>
        <v>30</v>
      </c>
      <c r="J8" s="66">
        <f t="shared" si="0"/>
        <v>42</v>
      </c>
      <c r="K8" s="43">
        <f t="shared" si="0"/>
        <v>6</v>
      </c>
      <c r="L8" s="40">
        <f t="shared" si="0"/>
        <v>16</v>
      </c>
      <c r="M8" s="40">
        <f t="shared" si="0"/>
        <v>26</v>
      </c>
      <c r="N8" s="66">
        <f t="shared" si="0"/>
        <v>48</v>
      </c>
      <c r="O8" s="43">
        <f t="shared" si="0"/>
        <v>6</v>
      </c>
      <c r="P8" s="40">
        <f t="shared" si="0"/>
        <v>13</v>
      </c>
      <c r="Q8" s="40">
        <f t="shared" si="0"/>
        <v>32</v>
      </c>
      <c r="R8" s="66">
        <f t="shared" si="0"/>
        <v>39</v>
      </c>
      <c r="S8" s="43">
        <f t="shared" si="0"/>
        <v>6</v>
      </c>
      <c r="T8" s="40">
        <f t="shared" si="0"/>
        <v>23</v>
      </c>
      <c r="U8" s="40">
        <f t="shared" si="0"/>
        <v>28</v>
      </c>
      <c r="V8" s="66">
        <f t="shared" si="0"/>
        <v>45</v>
      </c>
      <c r="W8" s="46">
        <f t="shared" si="1"/>
        <v>12</v>
      </c>
      <c r="X8" s="46">
        <f t="shared" si="1"/>
        <v>23</v>
      </c>
      <c r="Y8" s="46">
        <f t="shared" si="1"/>
        <v>34</v>
      </c>
      <c r="Z8" s="46">
        <f t="shared" si="1"/>
        <v>45</v>
      </c>
      <c r="AA8" s="46">
        <f t="shared" si="1"/>
        <v>12</v>
      </c>
      <c r="AB8" s="46">
        <f t="shared" si="1"/>
        <v>21</v>
      </c>
      <c r="AC8" s="46">
        <f t="shared" si="1"/>
        <v>42</v>
      </c>
      <c r="AD8" s="46">
        <f t="shared" si="1"/>
        <v>3</v>
      </c>
      <c r="AE8" s="46">
        <f t="shared" si="1"/>
        <v>12</v>
      </c>
      <c r="AF8" s="46">
        <f t="shared" si="1"/>
        <v>20</v>
      </c>
      <c r="AG8" s="46">
        <f t="shared" si="1"/>
        <v>40</v>
      </c>
      <c r="AH8" s="46">
        <f t="shared" si="1"/>
        <v>48</v>
      </c>
      <c r="AI8" s="46">
        <f t="shared" si="1"/>
        <v>12</v>
      </c>
      <c r="AJ8" s="46">
        <f t="shared" si="1"/>
        <v>30</v>
      </c>
      <c r="AK8" s="46">
        <f t="shared" si="1"/>
        <v>36</v>
      </c>
      <c r="AL8" s="46">
        <f t="shared" si="1"/>
        <v>6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19</v>
      </c>
      <c r="I9" s="40">
        <f t="shared" si="0"/>
        <v>31</v>
      </c>
      <c r="J9" s="66">
        <f t="shared" si="0"/>
        <v>43</v>
      </c>
      <c r="K9" s="43">
        <f t="shared" si="0"/>
        <v>7</v>
      </c>
      <c r="L9" s="40">
        <f t="shared" si="0"/>
        <v>17</v>
      </c>
      <c r="M9" s="40">
        <f t="shared" si="0"/>
        <v>27</v>
      </c>
      <c r="N9" s="66">
        <f t="shared" si="0"/>
        <v>37</v>
      </c>
      <c r="O9" s="43">
        <f t="shared" si="0"/>
        <v>7</v>
      </c>
      <c r="P9" s="40">
        <f t="shared" si="0"/>
        <v>14</v>
      </c>
      <c r="Q9" s="40">
        <f t="shared" si="0"/>
        <v>33</v>
      </c>
      <c r="R9" s="66">
        <f t="shared" si="0"/>
        <v>40</v>
      </c>
      <c r="S9" s="43">
        <f t="shared" si="0"/>
        <v>7</v>
      </c>
      <c r="T9" s="40">
        <f t="shared" si="0"/>
        <v>24</v>
      </c>
      <c r="U9" s="40">
        <f t="shared" si="0"/>
        <v>29</v>
      </c>
      <c r="V9" s="66">
        <f t="shared" si="0"/>
        <v>46</v>
      </c>
      <c r="W9" s="46">
        <f t="shared" si="1"/>
        <v>13</v>
      </c>
      <c r="X9" s="46">
        <f t="shared" si="1"/>
        <v>24</v>
      </c>
      <c r="Y9" s="46">
        <f t="shared" si="1"/>
        <v>35</v>
      </c>
      <c r="Z9" s="46">
        <f t="shared" si="1"/>
        <v>46</v>
      </c>
      <c r="AA9" s="46">
        <f t="shared" si="1"/>
        <v>13</v>
      </c>
      <c r="AB9" s="46">
        <f t="shared" si="1"/>
        <v>22</v>
      </c>
      <c r="AC9" s="46">
        <f t="shared" si="1"/>
        <v>31</v>
      </c>
      <c r="AD9" s="46">
        <f t="shared" si="1"/>
        <v>4</v>
      </c>
      <c r="AE9" s="46">
        <f t="shared" si="1"/>
        <v>13</v>
      </c>
      <c r="AF9" s="46">
        <f t="shared" si="1"/>
        <v>21</v>
      </c>
      <c r="AG9" s="46">
        <f t="shared" si="1"/>
        <v>41</v>
      </c>
      <c r="AH9" s="46">
        <f t="shared" si="1"/>
        <v>1</v>
      </c>
      <c r="AI9" s="46">
        <f t="shared" si="1"/>
        <v>13</v>
      </c>
      <c r="AJ9" s="46">
        <f t="shared" si="1"/>
        <v>19</v>
      </c>
      <c r="AK9" s="46">
        <f t="shared" si="1"/>
        <v>37</v>
      </c>
      <c r="AL9" s="46">
        <f t="shared" si="1"/>
        <v>43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20</v>
      </c>
      <c r="I10" s="40">
        <f t="shared" si="0"/>
        <v>32</v>
      </c>
      <c r="J10" s="66">
        <f t="shared" si="0"/>
        <v>44</v>
      </c>
      <c r="K10" s="43">
        <f t="shared" si="0"/>
        <v>8</v>
      </c>
      <c r="L10" s="40">
        <f t="shared" si="0"/>
        <v>18</v>
      </c>
      <c r="M10" s="40">
        <f t="shared" si="0"/>
        <v>28</v>
      </c>
      <c r="N10" s="66">
        <f t="shared" si="0"/>
        <v>38</v>
      </c>
      <c r="O10" s="43">
        <f t="shared" si="0"/>
        <v>8</v>
      </c>
      <c r="P10" s="40">
        <f t="shared" si="0"/>
        <v>15</v>
      </c>
      <c r="Q10" s="40">
        <f t="shared" si="0"/>
        <v>34</v>
      </c>
      <c r="R10" s="66">
        <f t="shared" si="0"/>
        <v>41</v>
      </c>
      <c r="S10" s="43">
        <f t="shared" si="0"/>
        <v>8</v>
      </c>
      <c r="T10" s="40">
        <f t="shared" si="0"/>
        <v>13</v>
      </c>
      <c r="U10" s="40">
        <f t="shared" si="0"/>
        <v>30</v>
      </c>
      <c r="V10" s="66">
        <f t="shared" si="0"/>
        <v>47</v>
      </c>
      <c r="W10" s="46">
        <f t="shared" si="1"/>
        <v>14</v>
      </c>
      <c r="X10" s="46">
        <f t="shared" si="1"/>
        <v>25</v>
      </c>
      <c r="Y10" s="46">
        <f t="shared" si="1"/>
        <v>36</v>
      </c>
      <c r="Z10" s="46">
        <f t="shared" si="1"/>
        <v>47</v>
      </c>
      <c r="AA10" s="46">
        <f t="shared" si="1"/>
        <v>14</v>
      </c>
      <c r="AB10" s="46">
        <f t="shared" si="1"/>
        <v>23</v>
      </c>
      <c r="AC10" s="46">
        <f t="shared" si="1"/>
        <v>32</v>
      </c>
      <c r="AD10" s="46">
        <f t="shared" si="1"/>
        <v>5</v>
      </c>
      <c r="AE10" s="46">
        <f t="shared" si="1"/>
        <v>14</v>
      </c>
      <c r="AF10" s="46">
        <f t="shared" si="1"/>
        <v>22</v>
      </c>
      <c r="AG10" s="46">
        <f t="shared" si="1"/>
        <v>42</v>
      </c>
      <c r="AH10" s="46">
        <f t="shared" si="1"/>
        <v>2</v>
      </c>
      <c r="AI10" s="46">
        <f t="shared" si="1"/>
        <v>14</v>
      </c>
      <c r="AJ10" s="46">
        <f t="shared" si="1"/>
        <v>20</v>
      </c>
      <c r="AK10" s="46">
        <f t="shared" si="1"/>
        <v>38</v>
      </c>
      <c r="AL10" s="46">
        <f t="shared" si="1"/>
        <v>44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21</v>
      </c>
      <c r="I11" s="40">
        <f t="shared" si="0"/>
        <v>33</v>
      </c>
      <c r="J11" s="66">
        <f t="shared" si="0"/>
        <v>45</v>
      </c>
      <c r="K11" s="43">
        <f t="shared" si="0"/>
        <v>9</v>
      </c>
      <c r="L11" s="40">
        <f t="shared" si="0"/>
        <v>19</v>
      </c>
      <c r="M11" s="40">
        <f t="shared" si="0"/>
        <v>29</v>
      </c>
      <c r="N11" s="66">
        <f t="shared" si="0"/>
        <v>39</v>
      </c>
      <c r="O11" s="43">
        <f t="shared" si="0"/>
        <v>9</v>
      </c>
      <c r="P11" s="40">
        <f t="shared" si="0"/>
        <v>16</v>
      </c>
      <c r="Q11" s="40">
        <f t="shared" si="0"/>
        <v>35</v>
      </c>
      <c r="R11" s="66">
        <f t="shared" si="0"/>
        <v>42</v>
      </c>
      <c r="S11" s="43">
        <f t="shared" si="0"/>
        <v>9</v>
      </c>
      <c r="T11" s="40">
        <f t="shared" si="0"/>
        <v>14</v>
      </c>
      <c r="U11" s="40">
        <f t="shared" si="0"/>
        <v>31</v>
      </c>
      <c r="V11" s="66">
        <f t="shared" si="0"/>
        <v>48</v>
      </c>
      <c r="W11" s="46">
        <f t="shared" si="1"/>
        <v>15</v>
      </c>
      <c r="X11" s="46">
        <f t="shared" si="1"/>
        <v>26</v>
      </c>
      <c r="Y11" s="46">
        <f t="shared" si="1"/>
        <v>37</v>
      </c>
      <c r="Z11" s="46">
        <f t="shared" si="1"/>
        <v>48</v>
      </c>
      <c r="AA11" s="46">
        <f t="shared" si="1"/>
        <v>15</v>
      </c>
      <c r="AB11" s="46">
        <f t="shared" si="1"/>
        <v>24</v>
      </c>
      <c r="AC11" s="46">
        <f t="shared" si="1"/>
        <v>33</v>
      </c>
      <c r="AD11" s="46">
        <f t="shared" si="1"/>
        <v>6</v>
      </c>
      <c r="AE11" s="46">
        <f t="shared" si="1"/>
        <v>15</v>
      </c>
      <c r="AF11" s="46">
        <f t="shared" si="1"/>
        <v>23</v>
      </c>
      <c r="AG11" s="46">
        <f t="shared" si="1"/>
        <v>31</v>
      </c>
      <c r="AH11" s="46">
        <f t="shared" si="1"/>
        <v>3</v>
      </c>
      <c r="AI11" s="46">
        <f t="shared" si="1"/>
        <v>15</v>
      </c>
      <c r="AJ11" s="46">
        <f t="shared" si="1"/>
        <v>21</v>
      </c>
      <c r="AK11" s="46">
        <f t="shared" si="1"/>
        <v>39</v>
      </c>
      <c r="AL11" s="46">
        <f t="shared" si="1"/>
        <v>45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22</v>
      </c>
      <c r="I12" s="40">
        <f t="shared" si="0"/>
        <v>34</v>
      </c>
      <c r="J12" s="66">
        <f t="shared" si="0"/>
        <v>46</v>
      </c>
      <c r="K12" s="43">
        <f t="shared" si="0"/>
        <v>10</v>
      </c>
      <c r="L12" s="40">
        <f t="shared" si="0"/>
        <v>20</v>
      </c>
      <c r="M12" s="40">
        <f t="shared" si="0"/>
        <v>30</v>
      </c>
      <c r="N12" s="66">
        <f t="shared" si="0"/>
        <v>40</v>
      </c>
      <c r="O12" s="43">
        <f t="shared" si="0"/>
        <v>10</v>
      </c>
      <c r="P12" s="40">
        <f t="shared" si="0"/>
        <v>17</v>
      </c>
      <c r="Q12" s="40">
        <f t="shared" si="0"/>
        <v>36</v>
      </c>
      <c r="R12" s="66">
        <f t="shared" si="0"/>
        <v>43</v>
      </c>
      <c r="S12" s="43">
        <f t="shared" si="0"/>
        <v>10</v>
      </c>
      <c r="T12" s="40">
        <f t="shared" si="0"/>
        <v>15</v>
      </c>
      <c r="U12" s="40">
        <f t="shared" si="0"/>
        <v>32</v>
      </c>
      <c r="V12" s="66">
        <f t="shared" si="0"/>
        <v>37</v>
      </c>
      <c r="W12" s="46">
        <f t="shared" si="1"/>
        <v>16</v>
      </c>
      <c r="X12" s="46">
        <f t="shared" si="1"/>
        <v>27</v>
      </c>
      <c r="Y12" s="46">
        <f t="shared" si="1"/>
        <v>38</v>
      </c>
      <c r="Z12" s="46">
        <f t="shared" si="1"/>
        <v>1</v>
      </c>
      <c r="AA12" s="46">
        <f t="shared" si="1"/>
        <v>16</v>
      </c>
      <c r="AB12" s="46">
        <f t="shared" si="1"/>
        <v>25</v>
      </c>
      <c r="AC12" s="46">
        <f t="shared" si="1"/>
        <v>34</v>
      </c>
      <c r="AD12" s="46">
        <f t="shared" si="1"/>
        <v>43</v>
      </c>
      <c r="AE12" s="46">
        <f t="shared" si="1"/>
        <v>16</v>
      </c>
      <c r="AF12" s="46">
        <f t="shared" si="1"/>
        <v>24</v>
      </c>
      <c r="AG12" s="46">
        <f t="shared" si="1"/>
        <v>32</v>
      </c>
      <c r="AH12" s="46">
        <f t="shared" si="1"/>
        <v>4</v>
      </c>
      <c r="AI12" s="46">
        <f t="shared" si="1"/>
        <v>16</v>
      </c>
      <c r="AJ12" s="46">
        <f t="shared" si="1"/>
        <v>22</v>
      </c>
      <c r="AK12" s="46">
        <f t="shared" si="1"/>
        <v>40</v>
      </c>
      <c r="AL12" s="46">
        <f t="shared" si="1"/>
        <v>46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23</v>
      </c>
      <c r="I13" s="40">
        <f t="shared" si="0"/>
        <v>35</v>
      </c>
      <c r="J13" s="66">
        <f t="shared" si="0"/>
        <v>47</v>
      </c>
      <c r="K13" s="43">
        <f t="shared" si="0"/>
        <v>11</v>
      </c>
      <c r="L13" s="40">
        <f t="shared" si="0"/>
        <v>21</v>
      </c>
      <c r="M13" s="40">
        <f t="shared" si="0"/>
        <v>31</v>
      </c>
      <c r="N13" s="66">
        <f t="shared" si="0"/>
        <v>41</v>
      </c>
      <c r="O13" s="43">
        <f t="shared" si="0"/>
        <v>11</v>
      </c>
      <c r="P13" s="40">
        <f t="shared" si="0"/>
        <v>18</v>
      </c>
      <c r="Q13" s="40">
        <f t="shared" si="0"/>
        <v>25</v>
      </c>
      <c r="R13" s="66">
        <f t="shared" si="0"/>
        <v>44</v>
      </c>
      <c r="S13" s="43">
        <f t="shared" si="0"/>
        <v>11</v>
      </c>
      <c r="T13" s="40">
        <f t="shared" si="0"/>
        <v>16</v>
      </c>
      <c r="U13" s="40">
        <f t="shared" si="0"/>
        <v>33</v>
      </c>
      <c r="V13" s="66">
        <f t="shared" si="0"/>
        <v>38</v>
      </c>
      <c r="W13" s="46">
        <f t="shared" si="1"/>
        <v>17</v>
      </c>
      <c r="X13" s="46">
        <f t="shared" si="1"/>
        <v>28</v>
      </c>
      <c r="Y13" s="46">
        <f t="shared" si="1"/>
        <v>39</v>
      </c>
      <c r="Z13" s="46">
        <f t="shared" si="1"/>
        <v>2</v>
      </c>
      <c r="AA13" s="46">
        <f t="shared" si="1"/>
        <v>17</v>
      </c>
      <c r="AB13" s="46">
        <f t="shared" si="1"/>
        <v>26</v>
      </c>
      <c r="AC13" s="46">
        <f t="shared" si="1"/>
        <v>35</v>
      </c>
      <c r="AD13" s="46">
        <f t="shared" si="1"/>
        <v>44</v>
      </c>
      <c r="AE13" s="46">
        <f t="shared" si="1"/>
        <v>17</v>
      </c>
      <c r="AF13" s="46">
        <f t="shared" si="1"/>
        <v>25</v>
      </c>
      <c r="AG13" s="46">
        <f t="shared" si="1"/>
        <v>33</v>
      </c>
      <c r="AH13" s="46">
        <f t="shared" si="1"/>
        <v>5</v>
      </c>
      <c r="AI13" s="46">
        <f t="shared" si="1"/>
        <v>17</v>
      </c>
      <c r="AJ13" s="46">
        <f t="shared" si="1"/>
        <v>23</v>
      </c>
      <c r="AK13" s="46">
        <f t="shared" si="1"/>
        <v>41</v>
      </c>
      <c r="AL13" s="46">
        <f t="shared" si="1"/>
        <v>47</v>
      </c>
    </row>
    <row r="14" spans="1:38" x14ac:dyDescent="0.35">
      <c r="A14" s="18">
        <v>11</v>
      </c>
      <c r="B14" s="19" t="s">
        <v>18</v>
      </c>
      <c r="D14">
        <f>$B$2/$C$2-$E$2/2+1</f>
        <v>9</v>
      </c>
      <c r="E14">
        <f>$B$2/$C$2+$E$2/2</f>
        <v>16</v>
      </c>
      <c r="G14" s="43">
        <f t="shared" si="0"/>
        <v>12</v>
      </c>
      <c r="H14" s="40">
        <f t="shared" si="0"/>
        <v>24</v>
      </c>
      <c r="I14" s="40">
        <f t="shared" si="0"/>
        <v>36</v>
      </c>
      <c r="J14" s="66">
        <f t="shared" si="0"/>
        <v>48</v>
      </c>
      <c r="K14" s="43">
        <f t="shared" si="0"/>
        <v>12</v>
      </c>
      <c r="L14" s="40">
        <f t="shared" si="0"/>
        <v>22</v>
      </c>
      <c r="M14" s="40">
        <f t="shared" si="0"/>
        <v>32</v>
      </c>
      <c r="N14" s="66">
        <f t="shared" si="0"/>
        <v>42</v>
      </c>
      <c r="O14" s="43">
        <f t="shared" si="0"/>
        <v>12</v>
      </c>
      <c r="P14" s="40">
        <f t="shared" si="0"/>
        <v>19</v>
      </c>
      <c r="Q14" s="40">
        <f t="shared" si="0"/>
        <v>26</v>
      </c>
      <c r="R14" s="66">
        <f t="shared" si="0"/>
        <v>45</v>
      </c>
      <c r="S14" s="43">
        <f t="shared" si="0"/>
        <v>12</v>
      </c>
      <c r="T14" s="40">
        <f t="shared" si="0"/>
        <v>17</v>
      </c>
      <c r="U14" s="40">
        <f t="shared" si="0"/>
        <v>34</v>
      </c>
      <c r="V14" s="66">
        <f t="shared" si="0"/>
        <v>39</v>
      </c>
      <c r="W14" s="46">
        <f t="shared" si="1"/>
        <v>18</v>
      </c>
      <c r="X14" s="46">
        <f t="shared" si="1"/>
        <v>29</v>
      </c>
      <c r="Y14" s="46">
        <f t="shared" si="1"/>
        <v>40</v>
      </c>
      <c r="Z14" s="46">
        <f t="shared" si="1"/>
        <v>3</v>
      </c>
      <c r="AA14" s="46">
        <f t="shared" si="1"/>
        <v>18</v>
      </c>
      <c r="AB14" s="46">
        <f t="shared" si="1"/>
        <v>27</v>
      </c>
      <c r="AC14" s="46">
        <f t="shared" si="1"/>
        <v>36</v>
      </c>
      <c r="AD14" s="46">
        <f t="shared" si="1"/>
        <v>45</v>
      </c>
      <c r="AE14" s="46">
        <f t="shared" si="1"/>
        <v>18</v>
      </c>
      <c r="AF14" s="46">
        <f t="shared" si="1"/>
        <v>26</v>
      </c>
      <c r="AG14" s="46">
        <f t="shared" si="1"/>
        <v>34</v>
      </c>
      <c r="AH14" s="46">
        <f t="shared" si="1"/>
        <v>6</v>
      </c>
      <c r="AI14" s="46">
        <f t="shared" si="1"/>
        <v>18</v>
      </c>
      <c r="AJ14" s="46">
        <f t="shared" si="1"/>
        <v>24</v>
      </c>
      <c r="AK14" s="46">
        <f t="shared" si="1"/>
        <v>42</v>
      </c>
      <c r="AL14" s="46">
        <f t="shared" si="1"/>
        <v>48</v>
      </c>
    </row>
    <row r="15" spans="1:38" x14ac:dyDescent="0.35">
      <c r="A15" s="18">
        <v>12</v>
      </c>
      <c r="B15" s="19" t="s">
        <v>18</v>
      </c>
      <c r="D15">
        <f>2*$B$2/$C$2-$E$2/2+1</f>
        <v>21</v>
      </c>
      <c r="E15">
        <f>2*$B$2/$C$2+$E$2/2</f>
        <v>28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33</v>
      </c>
      <c r="E16">
        <f>3*$B$2/$C$2+$E$2/2</f>
        <v>40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46</v>
      </c>
      <c r="E17">
        <f>$B$2</f>
        <v>48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15</v>
      </c>
      <c r="E19">
        <f>ROUND($B$2/$C$2+$E$2/2+$B$2/8,0)</f>
        <v>22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27</v>
      </c>
      <c r="E20">
        <f>ROUND(2*$B$2/$C$2+$E$2/2+$B$2/8,0)</f>
        <v>34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39</v>
      </c>
      <c r="E21">
        <f>ROUND(3*$B$2/$C$2+$E$2/2+$B$2/8,0)</f>
        <v>46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46</v>
      </c>
      <c r="E22">
        <f>$B$2</f>
        <v>48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3</v>
      </c>
      <c r="E23">
        <f>ROUND($B$2/$C$2+$E$2/2-$B$2/8,0)</f>
        <v>10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64" priority="6" operator="between">
      <formula>$D$17</formula>
      <formula>$E$17</formula>
    </cfRule>
    <cfRule type="cellIs" dxfId="163" priority="7" operator="between">
      <formula>$D$16</formula>
      <formula>$E$16</formula>
    </cfRule>
    <cfRule type="cellIs" dxfId="162" priority="8" operator="between">
      <formula>$D$15</formula>
      <formula>$E$15</formula>
    </cfRule>
    <cfRule type="cellIs" dxfId="161" priority="9" operator="between">
      <formula>$D$14</formula>
      <formula>$E$14</formula>
    </cfRule>
  </conditionalFormatting>
  <conditionalFormatting sqref="W3:AL22">
    <cfRule type="cellIs" dxfId="160" priority="1" operator="between">
      <formula>$D$23</formula>
      <formula>$E$23</formula>
    </cfRule>
    <cfRule type="cellIs" dxfId="159" priority="2" operator="between">
      <formula>$D$22</formula>
      <formula>$E$22</formula>
    </cfRule>
    <cfRule type="cellIs" dxfId="158" priority="3" operator="between">
      <formula>$D$21</formula>
      <formula>$E$21</formula>
    </cfRule>
    <cfRule type="cellIs" dxfId="157" priority="4" operator="between">
      <formula>$D$20</formula>
      <formula>$E$20</formula>
    </cfRule>
    <cfRule type="cellIs" dxfId="156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P29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12</v>
      </c>
      <c r="C4" s="58">
        <v>23</v>
      </c>
      <c r="D4" s="59">
        <v>34</v>
      </c>
      <c r="E4" s="57">
        <v>1</v>
      </c>
      <c r="F4" s="58">
        <v>21</v>
      </c>
      <c r="G4" s="86">
        <v>30</v>
      </c>
      <c r="H4" s="59">
        <v>39</v>
      </c>
      <c r="I4" s="57">
        <v>1</v>
      </c>
      <c r="J4" s="58">
        <v>19</v>
      </c>
      <c r="K4" s="58">
        <v>26</v>
      </c>
      <c r="L4" s="90">
        <v>44</v>
      </c>
      <c r="M4" s="57">
        <v>1</v>
      </c>
      <c r="N4" s="86">
        <v>17</v>
      </c>
      <c r="O4" s="58">
        <v>33</v>
      </c>
      <c r="P4" s="59">
        <v>38</v>
      </c>
    </row>
    <row r="5" spans="1:16" x14ac:dyDescent="0.35">
      <c r="A5" s="82">
        <v>2</v>
      </c>
      <c r="B5" s="55">
        <v>13</v>
      </c>
      <c r="C5" s="55">
        <v>24</v>
      </c>
      <c r="D5" s="56">
        <v>35</v>
      </c>
      <c r="E5" s="75">
        <v>2</v>
      </c>
      <c r="F5" s="76">
        <v>22</v>
      </c>
      <c r="G5" s="87">
        <v>31</v>
      </c>
      <c r="H5" s="77">
        <v>40</v>
      </c>
      <c r="I5" s="49">
        <v>2</v>
      </c>
      <c r="J5" s="50">
        <v>20</v>
      </c>
      <c r="K5" s="50">
        <v>27</v>
      </c>
      <c r="L5" s="91">
        <v>34</v>
      </c>
      <c r="M5" s="75">
        <v>2</v>
      </c>
      <c r="N5" s="87">
        <v>18</v>
      </c>
      <c r="O5" s="76">
        <v>23</v>
      </c>
      <c r="P5" s="77">
        <v>39</v>
      </c>
    </row>
    <row r="6" spans="1:16" x14ac:dyDescent="0.35">
      <c r="A6" s="83">
        <v>3</v>
      </c>
      <c r="B6" s="61">
        <v>14</v>
      </c>
      <c r="C6" s="61">
        <v>25</v>
      </c>
      <c r="D6" s="62">
        <v>36</v>
      </c>
      <c r="E6" s="60">
        <v>3</v>
      </c>
      <c r="F6" s="61">
        <v>12</v>
      </c>
      <c r="G6" s="88">
        <v>32</v>
      </c>
      <c r="H6" s="62">
        <v>41</v>
      </c>
      <c r="I6" s="60">
        <v>3</v>
      </c>
      <c r="J6" s="61">
        <v>21</v>
      </c>
      <c r="K6" s="61">
        <v>28</v>
      </c>
      <c r="L6" s="92">
        <v>35</v>
      </c>
      <c r="M6" s="60">
        <v>3</v>
      </c>
      <c r="N6" s="88">
        <v>19</v>
      </c>
      <c r="O6" s="61">
        <v>24</v>
      </c>
      <c r="P6" s="62">
        <v>40</v>
      </c>
    </row>
    <row r="7" spans="1:16" x14ac:dyDescent="0.35">
      <c r="A7" s="82">
        <v>4</v>
      </c>
      <c r="B7" s="55">
        <v>15</v>
      </c>
      <c r="C7" s="55">
        <v>26</v>
      </c>
      <c r="D7" s="56">
        <v>37</v>
      </c>
      <c r="E7" s="75">
        <v>4</v>
      </c>
      <c r="F7" s="76">
        <v>13</v>
      </c>
      <c r="G7" s="87">
        <v>33</v>
      </c>
      <c r="H7" s="77">
        <v>42</v>
      </c>
      <c r="I7" s="49">
        <v>4</v>
      </c>
      <c r="J7" s="50">
        <v>22</v>
      </c>
      <c r="K7" s="50">
        <v>29</v>
      </c>
      <c r="L7" s="91">
        <v>36</v>
      </c>
      <c r="M7" s="75">
        <v>4</v>
      </c>
      <c r="N7" s="87">
        <v>20</v>
      </c>
      <c r="O7" s="76">
        <v>25</v>
      </c>
      <c r="P7" s="77">
        <v>41</v>
      </c>
    </row>
    <row r="8" spans="1:16" x14ac:dyDescent="0.35">
      <c r="A8" s="83">
        <v>5</v>
      </c>
      <c r="B8" s="61">
        <v>16</v>
      </c>
      <c r="C8" s="61">
        <v>27</v>
      </c>
      <c r="D8" s="62">
        <v>38</v>
      </c>
      <c r="E8" s="60">
        <v>5</v>
      </c>
      <c r="F8" s="61">
        <v>14</v>
      </c>
      <c r="G8" s="88">
        <v>23</v>
      </c>
      <c r="H8" s="62">
        <v>43</v>
      </c>
      <c r="I8" s="60">
        <v>5</v>
      </c>
      <c r="J8" s="61">
        <v>12</v>
      </c>
      <c r="K8" s="61">
        <v>30</v>
      </c>
      <c r="L8" s="92">
        <v>37</v>
      </c>
      <c r="M8" s="60">
        <v>5</v>
      </c>
      <c r="N8" s="88">
        <v>21</v>
      </c>
      <c r="O8" s="61">
        <v>26</v>
      </c>
      <c r="P8" s="62">
        <v>42</v>
      </c>
    </row>
    <row r="9" spans="1:16" x14ac:dyDescent="0.35">
      <c r="A9" s="82">
        <v>6</v>
      </c>
      <c r="B9" s="55">
        <v>17</v>
      </c>
      <c r="C9" s="55">
        <v>28</v>
      </c>
      <c r="D9" s="56">
        <v>39</v>
      </c>
      <c r="E9" s="75">
        <v>6</v>
      </c>
      <c r="F9" s="76">
        <v>15</v>
      </c>
      <c r="G9" s="87">
        <v>24</v>
      </c>
      <c r="H9" s="77">
        <v>44</v>
      </c>
      <c r="I9" s="49">
        <v>6</v>
      </c>
      <c r="J9" s="50">
        <v>13</v>
      </c>
      <c r="K9" s="50">
        <v>31</v>
      </c>
      <c r="L9" s="91">
        <v>38</v>
      </c>
      <c r="M9" s="75">
        <v>6</v>
      </c>
      <c r="N9" s="87">
        <v>22</v>
      </c>
      <c r="O9" s="76">
        <v>27</v>
      </c>
      <c r="P9" s="77">
        <v>43</v>
      </c>
    </row>
    <row r="10" spans="1:16" x14ac:dyDescent="0.35">
      <c r="A10" s="83">
        <v>7</v>
      </c>
      <c r="B10" s="61">
        <v>18</v>
      </c>
      <c r="C10" s="61">
        <v>29</v>
      </c>
      <c r="D10" s="62">
        <v>40</v>
      </c>
      <c r="E10" s="60">
        <v>7</v>
      </c>
      <c r="F10" s="61">
        <v>16</v>
      </c>
      <c r="G10" s="88">
        <v>25</v>
      </c>
      <c r="H10" s="62">
        <v>34</v>
      </c>
      <c r="I10" s="60">
        <v>7</v>
      </c>
      <c r="J10" s="61">
        <v>14</v>
      </c>
      <c r="K10" s="61">
        <v>32</v>
      </c>
      <c r="L10" s="92">
        <v>39</v>
      </c>
      <c r="M10" s="60">
        <v>7</v>
      </c>
      <c r="N10" s="88">
        <v>12</v>
      </c>
      <c r="O10" s="61">
        <v>28</v>
      </c>
      <c r="P10" s="62">
        <v>44</v>
      </c>
    </row>
    <row r="11" spans="1:16" x14ac:dyDescent="0.35">
      <c r="A11" s="84">
        <v>8</v>
      </c>
      <c r="B11" s="50">
        <v>19</v>
      </c>
      <c r="C11" s="50">
        <v>30</v>
      </c>
      <c r="D11" s="51">
        <v>41</v>
      </c>
      <c r="E11" s="75">
        <v>8</v>
      </c>
      <c r="F11" s="76">
        <v>17</v>
      </c>
      <c r="G11" s="87">
        <v>26</v>
      </c>
      <c r="H11" s="77">
        <v>35</v>
      </c>
      <c r="I11" s="49">
        <v>8</v>
      </c>
      <c r="J11" s="50">
        <v>15</v>
      </c>
      <c r="K11" s="50">
        <v>33</v>
      </c>
      <c r="L11" s="91">
        <v>40</v>
      </c>
      <c r="M11" s="75">
        <v>8</v>
      </c>
      <c r="N11" s="87">
        <v>13</v>
      </c>
      <c r="O11" s="76">
        <v>29</v>
      </c>
      <c r="P11" s="77">
        <v>34</v>
      </c>
    </row>
    <row r="12" spans="1:16" x14ac:dyDescent="0.35">
      <c r="A12" s="83">
        <v>9</v>
      </c>
      <c r="B12" s="61">
        <v>20</v>
      </c>
      <c r="C12" s="61">
        <v>31</v>
      </c>
      <c r="D12" s="62">
        <v>42</v>
      </c>
      <c r="E12" s="60">
        <v>9</v>
      </c>
      <c r="F12" s="61">
        <v>18</v>
      </c>
      <c r="G12" s="88">
        <v>27</v>
      </c>
      <c r="H12" s="62">
        <v>36</v>
      </c>
      <c r="I12" s="60">
        <v>9</v>
      </c>
      <c r="J12" s="61">
        <v>16</v>
      </c>
      <c r="K12" s="61">
        <v>23</v>
      </c>
      <c r="L12" s="92">
        <v>41</v>
      </c>
      <c r="M12" s="60">
        <v>9</v>
      </c>
      <c r="N12" s="88">
        <v>14</v>
      </c>
      <c r="O12" s="61">
        <v>30</v>
      </c>
      <c r="P12" s="62">
        <v>35</v>
      </c>
    </row>
    <row r="13" spans="1:16" x14ac:dyDescent="0.35">
      <c r="A13" s="84">
        <v>10</v>
      </c>
      <c r="B13" s="50">
        <v>21</v>
      </c>
      <c r="C13" s="50">
        <v>32</v>
      </c>
      <c r="D13" s="51">
        <v>43</v>
      </c>
      <c r="E13" s="75">
        <v>10</v>
      </c>
      <c r="F13" s="76">
        <v>19</v>
      </c>
      <c r="G13" s="87">
        <v>28</v>
      </c>
      <c r="H13" s="77">
        <v>37</v>
      </c>
      <c r="I13" s="49">
        <v>10</v>
      </c>
      <c r="J13" s="50">
        <v>17</v>
      </c>
      <c r="K13" s="50">
        <v>24</v>
      </c>
      <c r="L13" s="91">
        <v>42</v>
      </c>
      <c r="M13" s="75">
        <v>10</v>
      </c>
      <c r="N13" s="87">
        <v>15</v>
      </c>
      <c r="O13" s="76">
        <v>31</v>
      </c>
      <c r="P13" s="77">
        <v>36</v>
      </c>
    </row>
    <row r="14" spans="1:16" x14ac:dyDescent="0.35">
      <c r="A14" s="83">
        <v>11</v>
      </c>
      <c r="B14" s="61">
        <v>22</v>
      </c>
      <c r="C14" s="61">
        <v>33</v>
      </c>
      <c r="D14" s="62">
        <v>44</v>
      </c>
      <c r="E14" s="60">
        <v>11</v>
      </c>
      <c r="F14" s="61">
        <v>20</v>
      </c>
      <c r="G14" s="88">
        <v>29</v>
      </c>
      <c r="H14" s="62">
        <v>38</v>
      </c>
      <c r="I14" s="60">
        <v>11</v>
      </c>
      <c r="J14" s="61">
        <v>18</v>
      </c>
      <c r="K14" s="61">
        <v>25</v>
      </c>
      <c r="L14" s="92">
        <v>43</v>
      </c>
      <c r="M14" s="60">
        <v>11</v>
      </c>
      <c r="N14" s="88">
        <v>16</v>
      </c>
      <c r="O14" s="61">
        <v>32</v>
      </c>
      <c r="P14" s="62">
        <v>37</v>
      </c>
    </row>
    <row r="15" spans="1:16" ht="15" thickBot="1" x14ac:dyDescent="0.4"/>
    <row r="16" spans="1:16" x14ac:dyDescent="0.35">
      <c r="A16" s="108" t="s">
        <v>34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10"/>
    </row>
    <row r="17" spans="1:16" ht="5.25" customHeight="1" thickBot="1" x14ac:dyDescent="0.4">
      <c r="A17" s="111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/>
    </row>
    <row r="18" spans="1:16" ht="15" thickBot="1" x14ac:dyDescent="0.4">
      <c r="A18" s="102" t="s">
        <v>30</v>
      </c>
      <c r="B18" s="103"/>
      <c r="C18" s="103"/>
      <c r="D18" s="104"/>
      <c r="E18" s="105" t="s">
        <v>31</v>
      </c>
      <c r="F18" s="106"/>
      <c r="G18" s="106"/>
      <c r="H18" s="107"/>
      <c r="I18" s="102" t="s">
        <v>32</v>
      </c>
      <c r="J18" s="103"/>
      <c r="K18" s="103"/>
      <c r="L18" s="104"/>
      <c r="M18" s="105" t="s">
        <v>33</v>
      </c>
      <c r="N18" s="106"/>
      <c r="O18" s="106"/>
      <c r="P18" s="107"/>
    </row>
    <row r="19" spans="1:16" x14ac:dyDescent="0.35">
      <c r="A19" s="57">
        <v>7</v>
      </c>
      <c r="B19" s="86">
        <v>28</v>
      </c>
      <c r="C19" s="58">
        <v>38</v>
      </c>
      <c r="D19" s="59">
        <v>4</v>
      </c>
      <c r="E19" s="57">
        <v>7</v>
      </c>
      <c r="F19" s="58">
        <v>26</v>
      </c>
      <c r="G19" s="58">
        <v>34</v>
      </c>
      <c r="H19" s="90">
        <v>42</v>
      </c>
      <c r="I19" s="57">
        <v>7</v>
      </c>
      <c r="J19" s="58">
        <v>24</v>
      </c>
      <c r="K19" s="86">
        <v>38</v>
      </c>
      <c r="L19" s="59">
        <v>3</v>
      </c>
      <c r="M19" s="81">
        <v>7</v>
      </c>
      <c r="N19" s="58">
        <v>22</v>
      </c>
      <c r="O19" s="58">
        <v>37</v>
      </c>
      <c r="P19" s="59">
        <v>41</v>
      </c>
    </row>
    <row r="20" spans="1:16" x14ac:dyDescent="0.35">
      <c r="A20" s="94">
        <v>8</v>
      </c>
      <c r="B20" s="95">
        <v>18</v>
      </c>
      <c r="C20" s="55">
        <v>39</v>
      </c>
      <c r="D20" s="56">
        <v>5</v>
      </c>
      <c r="E20" s="75">
        <v>8</v>
      </c>
      <c r="F20" s="76">
        <v>27</v>
      </c>
      <c r="G20" s="76">
        <v>35</v>
      </c>
      <c r="H20" s="98">
        <v>43</v>
      </c>
      <c r="I20" s="49">
        <v>8</v>
      </c>
      <c r="J20" s="50">
        <v>25</v>
      </c>
      <c r="K20" s="96">
        <v>39</v>
      </c>
      <c r="L20" s="51">
        <v>4</v>
      </c>
      <c r="M20" s="100">
        <v>8</v>
      </c>
      <c r="N20" s="76">
        <v>23</v>
      </c>
      <c r="O20" s="76">
        <v>38</v>
      </c>
      <c r="P20" s="77">
        <v>42</v>
      </c>
    </row>
    <row r="21" spans="1:16" x14ac:dyDescent="0.35">
      <c r="A21" s="60">
        <v>9</v>
      </c>
      <c r="B21" s="88">
        <v>19</v>
      </c>
      <c r="C21" s="61">
        <v>29</v>
      </c>
      <c r="D21" s="62">
        <v>6</v>
      </c>
      <c r="E21" s="60">
        <v>9</v>
      </c>
      <c r="F21" s="61">
        <v>28</v>
      </c>
      <c r="G21" s="61">
        <v>36</v>
      </c>
      <c r="H21" s="92">
        <v>44</v>
      </c>
      <c r="I21" s="60">
        <v>9</v>
      </c>
      <c r="J21" s="61">
        <v>26</v>
      </c>
      <c r="K21" s="88">
        <v>29</v>
      </c>
      <c r="L21" s="62">
        <v>5</v>
      </c>
      <c r="M21" s="83">
        <v>9</v>
      </c>
      <c r="N21" s="61">
        <v>24</v>
      </c>
      <c r="O21" s="61">
        <v>39</v>
      </c>
      <c r="P21" s="62">
        <v>43</v>
      </c>
    </row>
    <row r="22" spans="1:16" x14ac:dyDescent="0.35">
      <c r="A22" s="94">
        <v>10</v>
      </c>
      <c r="B22" s="95">
        <v>20</v>
      </c>
      <c r="C22" s="55">
        <v>30</v>
      </c>
      <c r="D22" s="56">
        <v>40</v>
      </c>
      <c r="E22" s="75">
        <v>10</v>
      </c>
      <c r="F22" s="76">
        <v>18</v>
      </c>
      <c r="G22" s="76">
        <v>37</v>
      </c>
      <c r="H22" s="98">
        <v>1</v>
      </c>
      <c r="I22" s="49">
        <v>10</v>
      </c>
      <c r="J22" s="50">
        <v>27</v>
      </c>
      <c r="K22" s="96">
        <v>30</v>
      </c>
      <c r="L22" s="51">
        <v>6</v>
      </c>
      <c r="M22" s="100">
        <v>10</v>
      </c>
      <c r="N22" s="76">
        <v>25</v>
      </c>
      <c r="O22" s="76">
        <v>29</v>
      </c>
      <c r="P22" s="77">
        <v>44</v>
      </c>
    </row>
    <row r="23" spans="1:16" x14ac:dyDescent="0.35">
      <c r="A23" s="60">
        <v>11</v>
      </c>
      <c r="B23" s="88">
        <v>21</v>
      </c>
      <c r="C23" s="61">
        <v>31</v>
      </c>
      <c r="D23" s="62">
        <v>41</v>
      </c>
      <c r="E23" s="60">
        <v>11</v>
      </c>
      <c r="F23" s="61">
        <v>19</v>
      </c>
      <c r="G23" s="61">
        <v>38</v>
      </c>
      <c r="H23" s="92">
        <v>2</v>
      </c>
      <c r="I23" s="60">
        <v>11</v>
      </c>
      <c r="J23" s="61">
        <v>28</v>
      </c>
      <c r="K23" s="88">
        <v>31</v>
      </c>
      <c r="L23" s="62">
        <v>40</v>
      </c>
      <c r="M23" s="83">
        <v>11</v>
      </c>
      <c r="N23" s="61">
        <v>26</v>
      </c>
      <c r="O23" s="61">
        <v>30</v>
      </c>
      <c r="P23" s="62">
        <v>1</v>
      </c>
    </row>
    <row r="24" spans="1:16" x14ac:dyDescent="0.35">
      <c r="A24" s="94">
        <v>12</v>
      </c>
      <c r="B24" s="95">
        <v>22</v>
      </c>
      <c r="C24" s="55">
        <v>32</v>
      </c>
      <c r="D24" s="56">
        <v>42</v>
      </c>
      <c r="E24" s="75">
        <v>12</v>
      </c>
      <c r="F24" s="76">
        <v>20</v>
      </c>
      <c r="G24" s="76">
        <v>39</v>
      </c>
      <c r="H24" s="98">
        <v>3</v>
      </c>
      <c r="I24" s="49">
        <v>12</v>
      </c>
      <c r="J24" s="50">
        <v>18</v>
      </c>
      <c r="K24" s="96">
        <v>32</v>
      </c>
      <c r="L24" s="51">
        <v>41</v>
      </c>
      <c r="M24" s="100">
        <v>12</v>
      </c>
      <c r="N24" s="76">
        <v>27</v>
      </c>
      <c r="O24" s="76">
        <v>31</v>
      </c>
      <c r="P24" s="77">
        <v>2</v>
      </c>
    </row>
    <row r="25" spans="1:16" x14ac:dyDescent="0.35">
      <c r="A25" s="60">
        <v>13</v>
      </c>
      <c r="B25" s="88">
        <v>23</v>
      </c>
      <c r="C25" s="61">
        <v>33</v>
      </c>
      <c r="D25" s="62">
        <v>43</v>
      </c>
      <c r="E25" s="60">
        <v>13</v>
      </c>
      <c r="F25" s="61">
        <v>21</v>
      </c>
      <c r="G25" s="61">
        <v>29</v>
      </c>
      <c r="H25" s="92">
        <v>4</v>
      </c>
      <c r="I25" s="60">
        <v>13</v>
      </c>
      <c r="J25" s="61">
        <v>19</v>
      </c>
      <c r="K25" s="88">
        <v>33</v>
      </c>
      <c r="L25" s="62">
        <v>42</v>
      </c>
      <c r="M25" s="83">
        <v>13</v>
      </c>
      <c r="N25" s="61">
        <v>28</v>
      </c>
      <c r="O25" s="61">
        <v>32</v>
      </c>
      <c r="P25" s="62">
        <v>3</v>
      </c>
    </row>
    <row r="26" spans="1:16" x14ac:dyDescent="0.35">
      <c r="A26" s="49">
        <v>14</v>
      </c>
      <c r="B26" s="96">
        <v>24</v>
      </c>
      <c r="C26" s="50">
        <v>34</v>
      </c>
      <c r="D26" s="51">
        <v>44</v>
      </c>
      <c r="E26" s="75">
        <v>14</v>
      </c>
      <c r="F26" s="76">
        <v>22</v>
      </c>
      <c r="G26" s="76">
        <v>30</v>
      </c>
      <c r="H26" s="98">
        <v>5</v>
      </c>
      <c r="I26" s="49">
        <v>14</v>
      </c>
      <c r="J26" s="50">
        <v>20</v>
      </c>
      <c r="K26" s="96">
        <v>34</v>
      </c>
      <c r="L26" s="51">
        <v>43</v>
      </c>
      <c r="M26" s="100">
        <v>14</v>
      </c>
      <c r="N26" s="76">
        <v>18</v>
      </c>
      <c r="O26" s="76">
        <v>33</v>
      </c>
      <c r="P26" s="77">
        <v>4</v>
      </c>
    </row>
    <row r="27" spans="1:16" x14ac:dyDescent="0.35">
      <c r="A27" s="60">
        <v>15</v>
      </c>
      <c r="B27" s="88">
        <v>25</v>
      </c>
      <c r="C27" s="61">
        <v>35</v>
      </c>
      <c r="D27" s="62">
        <v>1</v>
      </c>
      <c r="E27" s="60">
        <v>15</v>
      </c>
      <c r="F27" s="61">
        <v>23</v>
      </c>
      <c r="G27" s="61">
        <v>31</v>
      </c>
      <c r="H27" s="92">
        <v>6</v>
      </c>
      <c r="I27" s="60">
        <v>15</v>
      </c>
      <c r="J27" s="61">
        <v>21</v>
      </c>
      <c r="K27" s="88">
        <v>35</v>
      </c>
      <c r="L27" s="62">
        <v>44</v>
      </c>
      <c r="M27" s="83">
        <v>15</v>
      </c>
      <c r="N27" s="61">
        <v>19</v>
      </c>
      <c r="O27" s="61">
        <v>34</v>
      </c>
      <c r="P27" s="62">
        <v>5</v>
      </c>
    </row>
    <row r="28" spans="1:16" x14ac:dyDescent="0.35">
      <c r="A28" s="49">
        <v>16</v>
      </c>
      <c r="B28" s="96">
        <v>26</v>
      </c>
      <c r="C28" s="50">
        <v>36</v>
      </c>
      <c r="D28" s="51">
        <v>2</v>
      </c>
      <c r="E28" s="75">
        <v>16</v>
      </c>
      <c r="F28" s="76">
        <v>24</v>
      </c>
      <c r="G28" s="76">
        <v>32</v>
      </c>
      <c r="H28" s="98">
        <v>40</v>
      </c>
      <c r="I28" s="49">
        <v>16</v>
      </c>
      <c r="J28" s="50">
        <v>22</v>
      </c>
      <c r="K28" s="96">
        <v>36</v>
      </c>
      <c r="L28" s="51">
        <v>1</v>
      </c>
      <c r="M28" s="100">
        <v>16</v>
      </c>
      <c r="N28" s="76">
        <v>20</v>
      </c>
      <c r="O28" s="76">
        <v>35</v>
      </c>
      <c r="P28" s="77">
        <v>6</v>
      </c>
    </row>
    <row r="29" spans="1:16" x14ac:dyDescent="0.35">
      <c r="A29" s="60">
        <v>17</v>
      </c>
      <c r="B29" s="88">
        <v>27</v>
      </c>
      <c r="C29" s="61">
        <v>37</v>
      </c>
      <c r="D29" s="62">
        <v>3</v>
      </c>
      <c r="E29" s="60">
        <v>17</v>
      </c>
      <c r="F29" s="61">
        <v>25</v>
      </c>
      <c r="G29" s="61">
        <v>33</v>
      </c>
      <c r="H29" s="92">
        <v>41</v>
      </c>
      <c r="I29" s="60">
        <v>17</v>
      </c>
      <c r="J29" s="61">
        <v>23</v>
      </c>
      <c r="K29" s="88">
        <v>37</v>
      </c>
      <c r="L29" s="62">
        <v>2</v>
      </c>
      <c r="M29" s="83">
        <v>17</v>
      </c>
      <c r="N29" s="61">
        <v>21</v>
      </c>
      <c r="O29" s="61">
        <v>36</v>
      </c>
      <c r="P29" s="62">
        <v>40</v>
      </c>
    </row>
  </sheetData>
  <mergeCells count="10">
    <mergeCell ref="A18:D18"/>
    <mergeCell ref="E18:H18"/>
    <mergeCell ref="I18:L18"/>
    <mergeCell ref="M18:P18"/>
    <mergeCell ref="A1:P2"/>
    <mergeCell ref="A3:D3"/>
    <mergeCell ref="E3:H3"/>
    <mergeCell ref="I3:L3"/>
    <mergeCell ref="M3:P3"/>
    <mergeCell ref="A16:P17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82"/>
  <sheetViews>
    <sheetView topLeftCell="O1" workbookViewId="0">
      <selection activeCell="AC20" sqref="AC20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2</v>
      </c>
      <c r="D1">
        <f>FLOOR(3*$B$2/32,1)</f>
        <v>4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1</v>
      </c>
      <c r="AH1" s="10">
        <v>5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44</v>
      </c>
      <c r="C2">
        <v>4</v>
      </c>
      <c r="D2">
        <v>8</v>
      </c>
      <c r="E2">
        <v>8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3" si="0">MOD($A3-G$1*G$2,$B$2/4)+G$2*$B$2/4+1</f>
        <v>1</v>
      </c>
      <c r="H3" s="64">
        <f t="shared" si="0"/>
        <v>12</v>
      </c>
      <c r="I3" s="64">
        <f t="shared" si="0"/>
        <v>23</v>
      </c>
      <c r="J3" s="65">
        <f t="shared" si="0"/>
        <v>34</v>
      </c>
      <c r="K3" s="63">
        <f t="shared" si="0"/>
        <v>1</v>
      </c>
      <c r="L3" s="64">
        <f t="shared" si="0"/>
        <v>21</v>
      </c>
      <c r="M3" s="64">
        <f t="shared" si="0"/>
        <v>30</v>
      </c>
      <c r="N3" s="65">
        <f t="shared" si="0"/>
        <v>39</v>
      </c>
      <c r="O3" s="63">
        <f t="shared" si="0"/>
        <v>1</v>
      </c>
      <c r="P3" s="64">
        <f t="shared" si="0"/>
        <v>19</v>
      </c>
      <c r="Q3" s="64">
        <f t="shared" si="0"/>
        <v>26</v>
      </c>
      <c r="R3" s="65">
        <f t="shared" si="0"/>
        <v>44</v>
      </c>
      <c r="S3" s="63">
        <f t="shared" si="0"/>
        <v>1</v>
      </c>
      <c r="T3" s="64">
        <f t="shared" si="0"/>
        <v>17</v>
      </c>
      <c r="U3" s="64">
        <f t="shared" si="0"/>
        <v>33</v>
      </c>
      <c r="V3" s="65">
        <f t="shared" si="0"/>
        <v>38</v>
      </c>
      <c r="W3" s="46">
        <f t="shared" ref="W3:AL13" si="1">MOD(MOD($A3-W$1*W$2,$B$2/4)+W$2*$B$2/4+ROUND($B$2/8,0),$B$2)+1</f>
        <v>7</v>
      </c>
      <c r="X3" s="46">
        <f t="shared" si="1"/>
        <v>28</v>
      </c>
      <c r="Y3" s="46">
        <f t="shared" si="1"/>
        <v>38</v>
      </c>
      <c r="Z3" s="46">
        <f t="shared" si="1"/>
        <v>4</v>
      </c>
      <c r="AA3" s="46">
        <f t="shared" si="1"/>
        <v>7</v>
      </c>
      <c r="AB3" s="46">
        <f t="shared" si="1"/>
        <v>26</v>
      </c>
      <c r="AC3" s="46">
        <f t="shared" si="1"/>
        <v>34</v>
      </c>
      <c r="AD3" s="46">
        <f t="shared" si="1"/>
        <v>42</v>
      </c>
      <c r="AE3" s="46">
        <f t="shared" si="1"/>
        <v>7</v>
      </c>
      <c r="AF3" s="46">
        <f t="shared" si="1"/>
        <v>24</v>
      </c>
      <c r="AG3" s="46">
        <f t="shared" si="1"/>
        <v>38</v>
      </c>
      <c r="AH3" s="46">
        <f t="shared" si="1"/>
        <v>3</v>
      </c>
      <c r="AI3" s="46">
        <f t="shared" si="1"/>
        <v>7</v>
      </c>
      <c r="AJ3" s="46">
        <f t="shared" si="1"/>
        <v>22</v>
      </c>
      <c r="AK3" s="46">
        <f t="shared" si="1"/>
        <v>37</v>
      </c>
      <c r="AL3" s="46">
        <f t="shared" si="1"/>
        <v>41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13</v>
      </c>
      <c r="I4" s="40">
        <f t="shared" si="0"/>
        <v>24</v>
      </c>
      <c r="J4" s="66">
        <f t="shared" si="0"/>
        <v>35</v>
      </c>
      <c r="K4" s="43">
        <f t="shared" si="0"/>
        <v>2</v>
      </c>
      <c r="L4" s="40">
        <f t="shared" si="0"/>
        <v>22</v>
      </c>
      <c r="M4" s="40">
        <f t="shared" si="0"/>
        <v>31</v>
      </c>
      <c r="N4" s="66">
        <f t="shared" si="0"/>
        <v>40</v>
      </c>
      <c r="O4" s="43">
        <f t="shared" si="0"/>
        <v>2</v>
      </c>
      <c r="P4" s="40">
        <f t="shared" si="0"/>
        <v>20</v>
      </c>
      <c r="Q4" s="40">
        <f t="shared" si="0"/>
        <v>27</v>
      </c>
      <c r="R4" s="66">
        <f t="shared" si="0"/>
        <v>34</v>
      </c>
      <c r="S4" s="43">
        <f t="shared" si="0"/>
        <v>2</v>
      </c>
      <c r="T4" s="40">
        <f t="shared" si="0"/>
        <v>18</v>
      </c>
      <c r="U4" s="40">
        <f t="shared" si="0"/>
        <v>23</v>
      </c>
      <c r="V4" s="66">
        <f t="shared" si="0"/>
        <v>39</v>
      </c>
      <c r="W4" s="46">
        <f t="shared" si="1"/>
        <v>8</v>
      </c>
      <c r="X4" s="46">
        <f t="shared" si="1"/>
        <v>18</v>
      </c>
      <c r="Y4" s="46">
        <f t="shared" si="1"/>
        <v>39</v>
      </c>
      <c r="Z4" s="46">
        <f t="shared" si="1"/>
        <v>5</v>
      </c>
      <c r="AA4" s="46">
        <f t="shared" si="1"/>
        <v>8</v>
      </c>
      <c r="AB4" s="46">
        <f t="shared" si="1"/>
        <v>27</v>
      </c>
      <c r="AC4" s="46">
        <f t="shared" si="1"/>
        <v>35</v>
      </c>
      <c r="AD4" s="46">
        <f t="shared" si="1"/>
        <v>43</v>
      </c>
      <c r="AE4" s="46">
        <f t="shared" si="1"/>
        <v>8</v>
      </c>
      <c r="AF4" s="46">
        <f t="shared" si="1"/>
        <v>25</v>
      </c>
      <c r="AG4" s="46">
        <f t="shared" si="1"/>
        <v>39</v>
      </c>
      <c r="AH4" s="46">
        <f t="shared" si="1"/>
        <v>4</v>
      </c>
      <c r="AI4" s="46">
        <f t="shared" si="1"/>
        <v>8</v>
      </c>
      <c r="AJ4" s="46">
        <f t="shared" si="1"/>
        <v>23</v>
      </c>
      <c r="AK4" s="46">
        <f t="shared" si="1"/>
        <v>38</v>
      </c>
      <c r="AL4" s="46">
        <f t="shared" si="1"/>
        <v>42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14</v>
      </c>
      <c r="I5" s="40">
        <f t="shared" si="0"/>
        <v>25</v>
      </c>
      <c r="J5" s="66">
        <f t="shared" si="0"/>
        <v>36</v>
      </c>
      <c r="K5" s="43">
        <f t="shared" si="0"/>
        <v>3</v>
      </c>
      <c r="L5" s="40">
        <f t="shared" si="0"/>
        <v>12</v>
      </c>
      <c r="M5" s="40">
        <f t="shared" si="0"/>
        <v>32</v>
      </c>
      <c r="N5" s="66">
        <f t="shared" si="0"/>
        <v>41</v>
      </c>
      <c r="O5" s="43">
        <f t="shared" si="0"/>
        <v>3</v>
      </c>
      <c r="P5" s="40">
        <f t="shared" si="0"/>
        <v>21</v>
      </c>
      <c r="Q5" s="40">
        <f t="shared" si="0"/>
        <v>28</v>
      </c>
      <c r="R5" s="66">
        <f t="shared" si="0"/>
        <v>35</v>
      </c>
      <c r="S5" s="43">
        <f t="shared" si="0"/>
        <v>3</v>
      </c>
      <c r="T5" s="40">
        <f t="shared" si="0"/>
        <v>19</v>
      </c>
      <c r="U5" s="40">
        <f t="shared" si="0"/>
        <v>24</v>
      </c>
      <c r="V5" s="66">
        <f t="shared" si="0"/>
        <v>40</v>
      </c>
      <c r="W5" s="46">
        <f t="shared" si="1"/>
        <v>9</v>
      </c>
      <c r="X5" s="46">
        <f t="shared" si="1"/>
        <v>19</v>
      </c>
      <c r="Y5" s="46">
        <f t="shared" si="1"/>
        <v>29</v>
      </c>
      <c r="Z5" s="46">
        <f t="shared" si="1"/>
        <v>6</v>
      </c>
      <c r="AA5" s="46">
        <f t="shared" si="1"/>
        <v>9</v>
      </c>
      <c r="AB5" s="46">
        <f t="shared" si="1"/>
        <v>28</v>
      </c>
      <c r="AC5" s="46">
        <f t="shared" si="1"/>
        <v>36</v>
      </c>
      <c r="AD5" s="46">
        <f t="shared" si="1"/>
        <v>44</v>
      </c>
      <c r="AE5" s="46">
        <f t="shared" si="1"/>
        <v>9</v>
      </c>
      <c r="AF5" s="46">
        <f t="shared" si="1"/>
        <v>26</v>
      </c>
      <c r="AG5" s="46">
        <f t="shared" si="1"/>
        <v>29</v>
      </c>
      <c r="AH5" s="46">
        <f t="shared" si="1"/>
        <v>5</v>
      </c>
      <c r="AI5" s="46">
        <f t="shared" si="1"/>
        <v>9</v>
      </c>
      <c r="AJ5" s="46">
        <f t="shared" si="1"/>
        <v>24</v>
      </c>
      <c r="AK5" s="46">
        <f t="shared" si="1"/>
        <v>39</v>
      </c>
      <c r="AL5" s="46">
        <f t="shared" si="1"/>
        <v>43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15</v>
      </c>
      <c r="I6" s="40">
        <f t="shared" si="0"/>
        <v>26</v>
      </c>
      <c r="J6" s="66">
        <f t="shared" si="0"/>
        <v>37</v>
      </c>
      <c r="K6" s="43">
        <f t="shared" si="0"/>
        <v>4</v>
      </c>
      <c r="L6" s="40">
        <f t="shared" si="0"/>
        <v>13</v>
      </c>
      <c r="M6" s="40">
        <f t="shared" si="0"/>
        <v>33</v>
      </c>
      <c r="N6" s="66">
        <f t="shared" si="0"/>
        <v>42</v>
      </c>
      <c r="O6" s="43">
        <f t="shared" si="0"/>
        <v>4</v>
      </c>
      <c r="P6" s="40">
        <f t="shared" si="0"/>
        <v>22</v>
      </c>
      <c r="Q6" s="40">
        <f t="shared" si="0"/>
        <v>29</v>
      </c>
      <c r="R6" s="66">
        <f t="shared" si="0"/>
        <v>36</v>
      </c>
      <c r="S6" s="43">
        <f t="shared" si="0"/>
        <v>4</v>
      </c>
      <c r="T6" s="40">
        <f t="shared" si="0"/>
        <v>20</v>
      </c>
      <c r="U6" s="40">
        <f t="shared" si="0"/>
        <v>25</v>
      </c>
      <c r="V6" s="66">
        <f t="shared" si="0"/>
        <v>41</v>
      </c>
      <c r="W6" s="46">
        <f t="shared" si="1"/>
        <v>10</v>
      </c>
      <c r="X6" s="46">
        <f t="shared" si="1"/>
        <v>20</v>
      </c>
      <c r="Y6" s="46">
        <f t="shared" si="1"/>
        <v>30</v>
      </c>
      <c r="Z6" s="46">
        <f t="shared" si="1"/>
        <v>40</v>
      </c>
      <c r="AA6" s="46">
        <f t="shared" si="1"/>
        <v>10</v>
      </c>
      <c r="AB6" s="46">
        <f t="shared" si="1"/>
        <v>18</v>
      </c>
      <c r="AC6" s="46">
        <f t="shared" si="1"/>
        <v>37</v>
      </c>
      <c r="AD6" s="46">
        <f t="shared" si="1"/>
        <v>1</v>
      </c>
      <c r="AE6" s="46">
        <f t="shared" si="1"/>
        <v>10</v>
      </c>
      <c r="AF6" s="46">
        <f t="shared" si="1"/>
        <v>27</v>
      </c>
      <c r="AG6" s="46">
        <f t="shared" si="1"/>
        <v>30</v>
      </c>
      <c r="AH6" s="46">
        <f t="shared" si="1"/>
        <v>6</v>
      </c>
      <c r="AI6" s="46">
        <f t="shared" si="1"/>
        <v>10</v>
      </c>
      <c r="AJ6" s="46">
        <f t="shared" si="1"/>
        <v>25</v>
      </c>
      <c r="AK6" s="46">
        <f t="shared" si="1"/>
        <v>29</v>
      </c>
      <c r="AL6" s="46">
        <f t="shared" si="1"/>
        <v>44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16</v>
      </c>
      <c r="I7" s="40">
        <f t="shared" si="0"/>
        <v>27</v>
      </c>
      <c r="J7" s="66">
        <f t="shared" si="0"/>
        <v>38</v>
      </c>
      <c r="K7" s="43">
        <f t="shared" si="0"/>
        <v>5</v>
      </c>
      <c r="L7" s="40">
        <f t="shared" si="0"/>
        <v>14</v>
      </c>
      <c r="M7" s="40">
        <f t="shared" si="0"/>
        <v>23</v>
      </c>
      <c r="N7" s="66">
        <f t="shared" si="0"/>
        <v>43</v>
      </c>
      <c r="O7" s="43">
        <f t="shared" si="0"/>
        <v>5</v>
      </c>
      <c r="P7" s="40">
        <f t="shared" si="0"/>
        <v>12</v>
      </c>
      <c r="Q7" s="40">
        <f t="shared" si="0"/>
        <v>30</v>
      </c>
      <c r="R7" s="66">
        <f t="shared" si="0"/>
        <v>37</v>
      </c>
      <c r="S7" s="43">
        <f t="shared" si="0"/>
        <v>5</v>
      </c>
      <c r="T7" s="40">
        <f t="shared" si="0"/>
        <v>21</v>
      </c>
      <c r="U7" s="40">
        <f t="shared" si="0"/>
        <v>26</v>
      </c>
      <c r="V7" s="66">
        <f t="shared" si="0"/>
        <v>42</v>
      </c>
      <c r="W7" s="46">
        <f t="shared" si="1"/>
        <v>11</v>
      </c>
      <c r="X7" s="46">
        <f t="shared" si="1"/>
        <v>21</v>
      </c>
      <c r="Y7" s="46">
        <f t="shared" si="1"/>
        <v>31</v>
      </c>
      <c r="Z7" s="46">
        <f t="shared" si="1"/>
        <v>41</v>
      </c>
      <c r="AA7" s="46">
        <f t="shared" si="1"/>
        <v>11</v>
      </c>
      <c r="AB7" s="46">
        <f t="shared" si="1"/>
        <v>19</v>
      </c>
      <c r="AC7" s="46">
        <f t="shared" si="1"/>
        <v>38</v>
      </c>
      <c r="AD7" s="46">
        <f t="shared" si="1"/>
        <v>2</v>
      </c>
      <c r="AE7" s="46">
        <f t="shared" si="1"/>
        <v>11</v>
      </c>
      <c r="AF7" s="46">
        <f t="shared" si="1"/>
        <v>28</v>
      </c>
      <c r="AG7" s="46">
        <f t="shared" si="1"/>
        <v>31</v>
      </c>
      <c r="AH7" s="46">
        <f t="shared" si="1"/>
        <v>40</v>
      </c>
      <c r="AI7" s="46">
        <f t="shared" si="1"/>
        <v>11</v>
      </c>
      <c r="AJ7" s="46">
        <f t="shared" si="1"/>
        <v>26</v>
      </c>
      <c r="AK7" s="46">
        <f t="shared" si="1"/>
        <v>30</v>
      </c>
      <c r="AL7" s="46">
        <f t="shared" si="1"/>
        <v>1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17</v>
      </c>
      <c r="I8" s="40">
        <f t="shared" si="0"/>
        <v>28</v>
      </c>
      <c r="J8" s="66">
        <f t="shared" si="0"/>
        <v>39</v>
      </c>
      <c r="K8" s="43">
        <f t="shared" si="0"/>
        <v>6</v>
      </c>
      <c r="L8" s="40">
        <f t="shared" si="0"/>
        <v>15</v>
      </c>
      <c r="M8" s="40">
        <f t="shared" si="0"/>
        <v>24</v>
      </c>
      <c r="N8" s="66">
        <f t="shared" si="0"/>
        <v>44</v>
      </c>
      <c r="O8" s="43">
        <f t="shared" si="0"/>
        <v>6</v>
      </c>
      <c r="P8" s="40">
        <f t="shared" si="0"/>
        <v>13</v>
      </c>
      <c r="Q8" s="40">
        <f t="shared" si="0"/>
        <v>31</v>
      </c>
      <c r="R8" s="66">
        <f t="shared" si="0"/>
        <v>38</v>
      </c>
      <c r="S8" s="43">
        <f t="shared" si="0"/>
        <v>6</v>
      </c>
      <c r="T8" s="40">
        <f t="shared" si="0"/>
        <v>22</v>
      </c>
      <c r="U8" s="40">
        <f t="shared" si="0"/>
        <v>27</v>
      </c>
      <c r="V8" s="66">
        <f t="shared" si="0"/>
        <v>43</v>
      </c>
      <c r="W8" s="46">
        <f t="shared" si="1"/>
        <v>12</v>
      </c>
      <c r="X8" s="46">
        <f t="shared" si="1"/>
        <v>22</v>
      </c>
      <c r="Y8" s="46">
        <f t="shared" si="1"/>
        <v>32</v>
      </c>
      <c r="Z8" s="46">
        <f t="shared" si="1"/>
        <v>42</v>
      </c>
      <c r="AA8" s="46">
        <f t="shared" si="1"/>
        <v>12</v>
      </c>
      <c r="AB8" s="46">
        <f t="shared" si="1"/>
        <v>20</v>
      </c>
      <c r="AC8" s="46">
        <f t="shared" si="1"/>
        <v>39</v>
      </c>
      <c r="AD8" s="46">
        <f t="shared" si="1"/>
        <v>3</v>
      </c>
      <c r="AE8" s="46">
        <f t="shared" si="1"/>
        <v>12</v>
      </c>
      <c r="AF8" s="46">
        <f t="shared" si="1"/>
        <v>18</v>
      </c>
      <c r="AG8" s="46">
        <f t="shared" si="1"/>
        <v>32</v>
      </c>
      <c r="AH8" s="46">
        <f t="shared" si="1"/>
        <v>41</v>
      </c>
      <c r="AI8" s="46">
        <f t="shared" si="1"/>
        <v>12</v>
      </c>
      <c r="AJ8" s="46">
        <f t="shared" si="1"/>
        <v>27</v>
      </c>
      <c r="AK8" s="46">
        <f t="shared" si="1"/>
        <v>31</v>
      </c>
      <c r="AL8" s="46">
        <f t="shared" si="1"/>
        <v>2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18</v>
      </c>
      <c r="I9" s="40">
        <f t="shared" si="0"/>
        <v>29</v>
      </c>
      <c r="J9" s="66">
        <f t="shared" si="0"/>
        <v>40</v>
      </c>
      <c r="K9" s="43">
        <f t="shared" si="0"/>
        <v>7</v>
      </c>
      <c r="L9" s="40">
        <f t="shared" si="0"/>
        <v>16</v>
      </c>
      <c r="M9" s="40">
        <f t="shared" si="0"/>
        <v>25</v>
      </c>
      <c r="N9" s="66">
        <f t="shared" si="0"/>
        <v>34</v>
      </c>
      <c r="O9" s="43">
        <f t="shared" si="0"/>
        <v>7</v>
      </c>
      <c r="P9" s="40">
        <f t="shared" si="0"/>
        <v>14</v>
      </c>
      <c r="Q9" s="40">
        <f t="shared" si="0"/>
        <v>32</v>
      </c>
      <c r="R9" s="66">
        <f t="shared" si="0"/>
        <v>39</v>
      </c>
      <c r="S9" s="43">
        <f t="shared" si="0"/>
        <v>7</v>
      </c>
      <c r="T9" s="40">
        <f t="shared" si="0"/>
        <v>12</v>
      </c>
      <c r="U9" s="40">
        <f t="shared" si="0"/>
        <v>28</v>
      </c>
      <c r="V9" s="66">
        <f t="shared" si="0"/>
        <v>44</v>
      </c>
      <c r="W9" s="46">
        <f t="shared" si="1"/>
        <v>13</v>
      </c>
      <c r="X9" s="46">
        <f t="shared" si="1"/>
        <v>23</v>
      </c>
      <c r="Y9" s="46">
        <f t="shared" si="1"/>
        <v>33</v>
      </c>
      <c r="Z9" s="46">
        <f t="shared" si="1"/>
        <v>43</v>
      </c>
      <c r="AA9" s="46">
        <f t="shared" si="1"/>
        <v>13</v>
      </c>
      <c r="AB9" s="46">
        <f t="shared" si="1"/>
        <v>21</v>
      </c>
      <c r="AC9" s="46">
        <f t="shared" si="1"/>
        <v>29</v>
      </c>
      <c r="AD9" s="46">
        <f t="shared" si="1"/>
        <v>4</v>
      </c>
      <c r="AE9" s="46">
        <f t="shared" si="1"/>
        <v>13</v>
      </c>
      <c r="AF9" s="46">
        <f t="shared" si="1"/>
        <v>19</v>
      </c>
      <c r="AG9" s="46">
        <f t="shared" si="1"/>
        <v>33</v>
      </c>
      <c r="AH9" s="46">
        <f t="shared" si="1"/>
        <v>42</v>
      </c>
      <c r="AI9" s="46">
        <f t="shared" si="1"/>
        <v>13</v>
      </c>
      <c r="AJ9" s="46">
        <f t="shared" si="1"/>
        <v>28</v>
      </c>
      <c r="AK9" s="46">
        <f t="shared" si="1"/>
        <v>32</v>
      </c>
      <c r="AL9" s="46">
        <f t="shared" si="1"/>
        <v>3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19</v>
      </c>
      <c r="I10" s="40">
        <f t="shared" si="0"/>
        <v>30</v>
      </c>
      <c r="J10" s="66">
        <f t="shared" si="0"/>
        <v>41</v>
      </c>
      <c r="K10" s="43">
        <f t="shared" si="0"/>
        <v>8</v>
      </c>
      <c r="L10" s="40">
        <f t="shared" si="0"/>
        <v>17</v>
      </c>
      <c r="M10" s="40">
        <f t="shared" si="0"/>
        <v>26</v>
      </c>
      <c r="N10" s="66">
        <f t="shared" si="0"/>
        <v>35</v>
      </c>
      <c r="O10" s="43">
        <f t="shared" si="0"/>
        <v>8</v>
      </c>
      <c r="P10" s="40">
        <f t="shared" si="0"/>
        <v>15</v>
      </c>
      <c r="Q10" s="40">
        <f t="shared" si="0"/>
        <v>33</v>
      </c>
      <c r="R10" s="66">
        <f t="shared" si="0"/>
        <v>40</v>
      </c>
      <c r="S10" s="43">
        <f t="shared" si="0"/>
        <v>8</v>
      </c>
      <c r="T10" s="40">
        <f t="shared" si="0"/>
        <v>13</v>
      </c>
      <c r="U10" s="40">
        <f t="shared" si="0"/>
        <v>29</v>
      </c>
      <c r="V10" s="66">
        <f t="shared" si="0"/>
        <v>34</v>
      </c>
      <c r="W10" s="46">
        <f t="shared" si="1"/>
        <v>14</v>
      </c>
      <c r="X10" s="46">
        <f t="shared" si="1"/>
        <v>24</v>
      </c>
      <c r="Y10" s="46">
        <f t="shared" si="1"/>
        <v>34</v>
      </c>
      <c r="Z10" s="46">
        <f t="shared" si="1"/>
        <v>44</v>
      </c>
      <c r="AA10" s="46">
        <f t="shared" si="1"/>
        <v>14</v>
      </c>
      <c r="AB10" s="46">
        <f t="shared" si="1"/>
        <v>22</v>
      </c>
      <c r="AC10" s="46">
        <f t="shared" si="1"/>
        <v>30</v>
      </c>
      <c r="AD10" s="46">
        <f t="shared" si="1"/>
        <v>5</v>
      </c>
      <c r="AE10" s="46">
        <f t="shared" si="1"/>
        <v>14</v>
      </c>
      <c r="AF10" s="46">
        <f t="shared" si="1"/>
        <v>20</v>
      </c>
      <c r="AG10" s="46">
        <f t="shared" si="1"/>
        <v>34</v>
      </c>
      <c r="AH10" s="46">
        <f t="shared" si="1"/>
        <v>43</v>
      </c>
      <c r="AI10" s="46">
        <f t="shared" si="1"/>
        <v>14</v>
      </c>
      <c r="AJ10" s="46">
        <f t="shared" si="1"/>
        <v>18</v>
      </c>
      <c r="AK10" s="46">
        <f t="shared" si="1"/>
        <v>33</v>
      </c>
      <c r="AL10" s="46">
        <f t="shared" si="1"/>
        <v>4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20</v>
      </c>
      <c r="I11" s="40">
        <f t="shared" si="0"/>
        <v>31</v>
      </c>
      <c r="J11" s="66">
        <f t="shared" si="0"/>
        <v>42</v>
      </c>
      <c r="K11" s="43">
        <f t="shared" si="0"/>
        <v>9</v>
      </c>
      <c r="L11" s="40">
        <f t="shared" si="0"/>
        <v>18</v>
      </c>
      <c r="M11" s="40">
        <f t="shared" si="0"/>
        <v>27</v>
      </c>
      <c r="N11" s="66">
        <f t="shared" si="0"/>
        <v>36</v>
      </c>
      <c r="O11" s="43">
        <f t="shared" si="0"/>
        <v>9</v>
      </c>
      <c r="P11" s="40">
        <f t="shared" si="0"/>
        <v>16</v>
      </c>
      <c r="Q11" s="40">
        <f t="shared" si="0"/>
        <v>23</v>
      </c>
      <c r="R11" s="66">
        <f t="shared" si="0"/>
        <v>41</v>
      </c>
      <c r="S11" s="43">
        <f t="shared" si="0"/>
        <v>9</v>
      </c>
      <c r="T11" s="40">
        <f t="shared" si="0"/>
        <v>14</v>
      </c>
      <c r="U11" s="40">
        <f t="shared" si="0"/>
        <v>30</v>
      </c>
      <c r="V11" s="66">
        <f t="shared" si="0"/>
        <v>35</v>
      </c>
      <c r="W11" s="46">
        <f t="shared" si="1"/>
        <v>15</v>
      </c>
      <c r="X11" s="46">
        <f t="shared" si="1"/>
        <v>25</v>
      </c>
      <c r="Y11" s="46">
        <f t="shared" si="1"/>
        <v>35</v>
      </c>
      <c r="Z11" s="46">
        <f t="shared" si="1"/>
        <v>1</v>
      </c>
      <c r="AA11" s="46">
        <f t="shared" si="1"/>
        <v>15</v>
      </c>
      <c r="AB11" s="46">
        <f t="shared" si="1"/>
        <v>23</v>
      </c>
      <c r="AC11" s="46">
        <f t="shared" si="1"/>
        <v>31</v>
      </c>
      <c r="AD11" s="46">
        <f t="shared" si="1"/>
        <v>6</v>
      </c>
      <c r="AE11" s="46">
        <f t="shared" si="1"/>
        <v>15</v>
      </c>
      <c r="AF11" s="46">
        <f t="shared" si="1"/>
        <v>21</v>
      </c>
      <c r="AG11" s="46">
        <f t="shared" si="1"/>
        <v>35</v>
      </c>
      <c r="AH11" s="46">
        <f t="shared" si="1"/>
        <v>44</v>
      </c>
      <c r="AI11" s="46">
        <f t="shared" si="1"/>
        <v>15</v>
      </c>
      <c r="AJ11" s="46">
        <f t="shared" si="1"/>
        <v>19</v>
      </c>
      <c r="AK11" s="46">
        <f t="shared" si="1"/>
        <v>34</v>
      </c>
      <c r="AL11" s="46">
        <f t="shared" si="1"/>
        <v>5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21</v>
      </c>
      <c r="I12" s="40">
        <f t="shared" si="0"/>
        <v>32</v>
      </c>
      <c r="J12" s="66">
        <f t="shared" si="0"/>
        <v>43</v>
      </c>
      <c r="K12" s="43">
        <f t="shared" si="0"/>
        <v>10</v>
      </c>
      <c r="L12" s="40">
        <f t="shared" si="0"/>
        <v>19</v>
      </c>
      <c r="M12" s="40">
        <f t="shared" si="0"/>
        <v>28</v>
      </c>
      <c r="N12" s="66">
        <f t="shared" si="0"/>
        <v>37</v>
      </c>
      <c r="O12" s="43">
        <f t="shared" si="0"/>
        <v>10</v>
      </c>
      <c r="P12" s="40">
        <f t="shared" si="0"/>
        <v>17</v>
      </c>
      <c r="Q12" s="40">
        <f t="shared" si="0"/>
        <v>24</v>
      </c>
      <c r="R12" s="66">
        <f t="shared" si="0"/>
        <v>42</v>
      </c>
      <c r="S12" s="43">
        <f t="shared" si="0"/>
        <v>10</v>
      </c>
      <c r="T12" s="40">
        <f t="shared" si="0"/>
        <v>15</v>
      </c>
      <c r="U12" s="40">
        <f t="shared" si="0"/>
        <v>31</v>
      </c>
      <c r="V12" s="66">
        <f t="shared" si="0"/>
        <v>36</v>
      </c>
      <c r="W12" s="46">
        <f t="shared" si="1"/>
        <v>16</v>
      </c>
      <c r="X12" s="46">
        <f t="shared" si="1"/>
        <v>26</v>
      </c>
      <c r="Y12" s="46">
        <f t="shared" si="1"/>
        <v>36</v>
      </c>
      <c r="Z12" s="46">
        <f t="shared" si="1"/>
        <v>2</v>
      </c>
      <c r="AA12" s="46">
        <f t="shared" si="1"/>
        <v>16</v>
      </c>
      <c r="AB12" s="46">
        <f t="shared" si="1"/>
        <v>24</v>
      </c>
      <c r="AC12" s="46">
        <f t="shared" si="1"/>
        <v>32</v>
      </c>
      <c r="AD12" s="46">
        <f t="shared" si="1"/>
        <v>40</v>
      </c>
      <c r="AE12" s="46">
        <f t="shared" si="1"/>
        <v>16</v>
      </c>
      <c r="AF12" s="46">
        <f t="shared" si="1"/>
        <v>22</v>
      </c>
      <c r="AG12" s="46">
        <f t="shared" si="1"/>
        <v>36</v>
      </c>
      <c r="AH12" s="46">
        <f t="shared" si="1"/>
        <v>1</v>
      </c>
      <c r="AI12" s="46">
        <f t="shared" si="1"/>
        <v>16</v>
      </c>
      <c r="AJ12" s="46">
        <f t="shared" si="1"/>
        <v>20</v>
      </c>
      <c r="AK12" s="46">
        <f t="shared" si="1"/>
        <v>35</v>
      </c>
      <c r="AL12" s="46">
        <f t="shared" si="1"/>
        <v>6</v>
      </c>
    </row>
    <row r="13" spans="1:38" x14ac:dyDescent="0.35">
      <c r="A13" s="18">
        <v>10</v>
      </c>
      <c r="B13" s="19" t="s">
        <v>18</v>
      </c>
      <c r="G13" s="43">
        <f t="shared" si="0"/>
        <v>11</v>
      </c>
      <c r="H13" s="40">
        <f t="shared" si="0"/>
        <v>22</v>
      </c>
      <c r="I13" s="40">
        <f t="shared" si="0"/>
        <v>33</v>
      </c>
      <c r="J13" s="66">
        <f t="shared" si="0"/>
        <v>44</v>
      </c>
      <c r="K13" s="43">
        <f t="shared" si="0"/>
        <v>11</v>
      </c>
      <c r="L13" s="40">
        <f t="shared" si="0"/>
        <v>20</v>
      </c>
      <c r="M13" s="40">
        <f t="shared" si="0"/>
        <v>29</v>
      </c>
      <c r="N13" s="66">
        <f t="shared" si="0"/>
        <v>38</v>
      </c>
      <c r="O13" s="43">
        <f t="shared" si="0"/>
        <v>11</v>
      </c>
      <c r="P13" s="40">
        <f t="shared" si="0"/>
        <v>18</v>
      </c>
      <c r="Q13" s="40">
        <f t="shared" si="0"/>
        <v>25</v>
      </c>
      <c r="R13" s="66">
        <f t="shared" si="0"/>
        <v>43</v>
      </c>
      <c r="S13" s="43">
        <f t="shared" si="0"/>
        <v>11</v>
      </c>
      <c r="T13" s="40">
        <f t="shared" si="0"/>
        <v>16</v>
      </c>
      <c r="U13" s="40">
        <f t="shared" si="0"/>
        <v>32</v>
      </c>
      <c r="V13" s="66">
        <f t="shared" si="0"/>
        <v>37</v>
      </c>
      <c r="W13" s="46">
        <f t="shared" si="1"/>
        <v>17</v>
      </c>
      <c r="X13" s="46">
        <f t="shared" si="1"/>
        <v>27</v>
      </c>
      <c r="Y13" s="46">
        <f t="shared" si="1"/>
        <v>37</v>
      </c>
      <c r="Z13" s="46">
        <f t="shared" si="1"/>
        <v>3</v>
      </c>
      <c r="AA13" s="46">
        <f t="shared" si="1"/>
        <v>17</v>
      </c>
      <c r="AB13" s="46">
        <f t="shared" si="1"/>
        <v>25</v>
      </c>
      <c r="AC13" s="46">
        <f t="shared" si="1"/>
        <v>33</v>
      </c>
      <c r="AD13" s="46">
        <f t="shared" si="1"/>
        <v>41</v>
      </c>
      <c r="AE13" s="46">
        <f t="shared" si="1"/>
        <v>17</v>
      </c>
      <c r="AF13" s="46">
        <f t="shared" si="1"/>
        <v>23</v>
      </c>
      <c r="AG13" s="46">
        <f t="shared" si="1"/>
        <v>37</v>
      </c>
      <c r="AH13" s="46">
        <f t="shared" si="1"/>
        <v>2</v>
      </c>
      <c r="AI13" s="46">
        <f t="shared" si="1"/>
        <v>17</v>
      </c>
      <c r="AJ13" s="46">
        <f t="shared" si="1"/>
        <v>21</v>
      </c>
      <c r="AK13" s="46">
        <f t="shared" si="1"/>
        <v>36</v>
      </c>
      <c r="AL13" s="46">
        <f t="shared" si="1"/>
        <v>40</v>
      </c>
    </row>
    <row r="14" spans="1:38" x14ac:dyDescent="0.35">
      <c r="A14" s="18">
        <v>11</v>
      </c>
      <c r="B14" s="19" t="s">
        <v>18</v>
      </c>
      <c r="D14">
        <f>$B$2/$C$2-$E$2/2+1</f>
        <v>8</v>
      </c>
      <c r="E14">
        <f>$B$2/$C$2+$E$2/2</f>
        <v>15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19</v>
      </c>
      <c r="E15">
        <f>2*$B$2/$C$2+$E$2/2</f>
        <v>26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30</v>
      </c>
      <c r="E16">
        <f>3*$B$2/$C$2+$E$2/2</f>
        <v>37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42</v>
      </c>
      <c r="E17">
        <f>$B$2</f>
        <v>44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13.5</v>
      </c>
      <c r="E19">
        <f>ROUND($B$2/$C$2+$E$2/2+$B$2/8,0)</f>
        <v>21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24.5</v>
      </c>
      <c r="E20">
        <f>ROUND(2*$B$2/$C$2+$E$2/2+$B$2/8,0)</f>
        <v>32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35.5</v>
      </c>
      <c r="E21">
        <f>ROUND(3*$B$2/$C$2+$E$2/2+$B$2/8,0)</f>
        <v>43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42</v>
      </c>
      <c r="E22">
        <f>$B$2</f>
        <v>44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2.5</v>
      </c>
      <c r="E23">
        <f>ROUND($B$2/$C$2+$E$2/2-$B$2/8,0)</f>
        <v>10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55" priority="6" operator="between">
      <formula>$D$17</formula>
      <formula>$E$17</formula>
    </cfRule>
    <cfRule type="cellIs" dxfId="154" priority="7" operator="between">
      <formula>$D$16</formula>
      <formula>$E$16</formula>
    </cfRule>
    <cfRule type="cellIs" dxfId="153" priority="8" operator="between">
      <formula>$D$15</formula>
      <formula>$E$15</formula>
    </cfRule>
    <cfRule type="cellIs" dxfId="152" priority="9" operator="between">
      <formula>$D$14</formula>
      <formula>$E$14</formula>
    </cfRule>
  </conditionalFormatting>
  <conditionalFormatting sqref="W3:AL22">
    <cfRule type="cellIs" dxfId="151" priority="1" operator="between">
      <formula>$D$23</formula>
      <formula>$E$23</formula>
    </cfRule>
    <cfRule type="cellIs" dxfId="150" priority="2" operator="between">
      <formula>$D$22</formula>
      <formula>$E$22</formula>
    </cfRule>
    <cfRule type="cellIs" dxfId="149" priority="3" operator="between">
      <formula>$D$21</formula>
      <formula>$E$21</formula>
    </cfRule>
    <cfRule type="cellIs" dxfId="148" priority="4" operator="between">
      <formula>$D$20</formula>
      <formula>$E$20</formula>
    </cfRule>
    <cfRule type="cellIs" dxfId="147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P27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57">
        <v>1</v>
      </c>
      <c r="B4" s="58">
        <v>11</v>
      </c>
      <c r="C4" s="58">
        <v>21</v>
      </c>
      <c r="D4" s="59">
        <v>31</v>
      </c>
      <c r="E4" s="57">
        <v>1</v>
      </c>
      <c r="F4" s="58">
        <v>19</v>
      </c>
      <c r="G4" s="86">
        <v>27</v>
      </c>
      <c r="H4" s="59">
        <v>35</v>
      </c>
      <c r="I4" s="57">
        <v>1</v>
      </c>
      <c r="J4" s="58">
        <v>17</v>
      </c>
      <c r="K4" s="58">
        <v>23</v>
      </c>
      <c r="L4" s="90">
        <v>39</v>
      </c>
      <c r="M4" s="57">
        <v>1</v>
      </c>
      <c r="N4" s="86">
        <v>15</v>
      </c>
      <c r="O4" s="58">
        <v>29</v>
      </c>
      <c r="P4" s="59">
        <v>33</v>
      </c>
    </row>
    <row r="5" spans="1:16" x14ac:dyDescent="0.35">
      <c r="A5" s="82">
        <v>2</v>
      </c>
      <c r="B5" s="55">
        <v>12</v>
      </c>
      <c r="C5" s="55">
        <v>22</v>
      </c>
      <c r="D5" s="56">
        <v>32</v>
      </c>
      <c r="E5" s="75">
        <v>2</v>
      </c>
      <c r="F5" s="76">
        <v>20</v>
      </c>
      <c r="G5" s="87">
        <v>28</v>
      </c>
      <c r="H5" s="77">
        <v>36</v>
      </c>
      <c r="I5" s="49">
        <v>2</v>
      </c>
      <c r="J5" s="50">
        <v>18</v>
      </c>
      <c r="K5" s="50">
        <v>24</v>
      </c>
      <c r="L5" s="91">
        <v>40</v>
      </c>
      <c r="M5" s="75">
        <v>2</v>
      </c>
      <c r="N5" s="87">
        <v>16</v>
      </c>
      <c r="O5" s="76">
        <v>30</v>
      </c>
      <c r="P5" s="77">
        <v>34</v>
      </c>
    </row>
    <row r="6" spans="1:16" x14ac:dyDescent="0.35">
      <c r="A6" s="83">
        <v>3</v>
      </c>
      <c r="B6" s="61">
        <v>13</v>
      </c>
      <c r="C6" s="61">
        <v>23</v>
      </c>
      <c r="D6" s="62">
        <v>33</v>
      </c>
      <c r="E6" s="60">
        <v>3</v>
      </c>
      <c r="F6" s="61">
        <v>11</v>
      </c>
      <c r="G6" s="88">
        <v>29</v>
      </c>
      <c r="H6" s="62">
        <v>37</v>
      </c>
      <c r="I6" s="60">
        <v>3</v>
      </c>
      <c r="J6" s="61">
        <v>19</v>
      </c>
      <c r="K6" s="61">
        <v>25</v>
      </c>
      <c r="L6" s="92">
        <v>31</v>
      </c>
      <c r="M6" s="60">
        <v>3</v>
      </c>
      <c r="N6" s="88">
        <v>17</v>
      </c>
      <c r="O6" s="61">
        <v>21</v>
      </c>
      <c r="P6" s="62">
        <v>35</v>
      </c>
    </row>
    <row r="7" spans="1:16" x14ac:dyDescent="0.35">
      <c r="A7" s="82">
        <v>4</v>
      </c>
      <c r="B7" s="55">
        <v>14</v>
      </c>
      <c r="C7" s="55">
        <v>24</v>
      </c>
      <c r="D7" s="56">
        <v>34</v>
      </c>
      <c r="E7" s="75">
        <v>4</v>
      </c>
      <c r="F7" s="76">
        <v>12</v>
      </c>
      <c r="G7" s="87">
        <v>30</v>
      </c>
      <c r="H7" s="77">
        <v>38</v>
      </c>
      <c r="I7" s="49">
        <v>4</v>
      </c>
      <c r="J7" s="50">
        <v>20</v>
      </c>
      <c r="K7" s="50">
        <v>26</v>
      </c>
      <c r="L7" s="91">
        <v>32</v>
      </c>
      <c r="M7" s="75">
        <v>4</v>
      </c>
      <c r="N7" s="87">
        <v>18</v>
      </c>
      <c r="O7" s="76">
        <v>22</v>
      </c>
      <c r="P7" s="77">
        <v>36</v>
      </c>
    </row>
    <row r="8" spans="1:16" x14ac:dyDescent="0.35">
      <c r="A8" s="83">
        <v>5</v>
      </c>
      <c r="B8" s="61">
        <v>15</v>
      </c>
      <c r="C8" s="61">
        <v>25</v>
      </c>
      <c r="D8" s="62">
        <v>35</v>
      </c>
      <c r="E8" s="60">
        <v>5</v>
      </c>
      <c r="F8" s="61">
        <v>13</v>
      </c>
      <c r="G8" s="88">
        <v>21</v>
      </c>
      <c r="H8" s="62">
        <v>39</v>
      </c>
      <c r="I8" s="60">
        <v>5</v>
      </c>
      <c r="J8" s="61">
        <v>11</v>
      </c>
      <c r="K8" s="61">
        <v>27</v>
      </c>
      <c r="L8" s="92">
        <v>33</v>
      </c>
      <c r="M8" s="60">
        <v>5</v>
      </c>
      <c r="N8" s="88">
        <v>19</v>
      </c>
      <c r="O8" s="61">
        <v>23</v>
      </c>
      <c r="P8" s="62">
        <v>37</v>
      </c>
    </row>
    <row r="9" spans="1:16" x14ac:dyDescent="0.35">
      <c r="A9" s="82">
        <v>6</v>
      </c>
      <c r="B9" s="55">
        <v>16</v>
      </c>
      <c r="C9" s="55">
        <v>26</v>
      </c>
      <c r="D9" s="56">
        <v>36</v>
      </c>
      <c r="E9" s="75">
        <v>6</v>
      </c>
      <c r="F9" s="76">
        <v>14</v>
      </c>
      <c r="G9" s="87">
        <v>22</v>
      </c>
      <c r="H9" s="77">
        <v>40</v>
      </c>
      <c r="I9" s="49">
        <v>6</v>
      </c>
      <c r="J9" s="50">
        <v>12</v>
      </c>
      <c r="K9" s="50">
        <v>28</v>
      </c>
      <c r="L9" s="91">
        <v>34</v>
      </c>
      <c r="M9" s="75">
        <v>6</v>
      </c>
      <c r="N9" s="87">
        <v>20</v>
      </c>
      <c r="O9" s="76">
        <v>24</v>
      </c>
      <c r="P9" s="77">
        <v>38</v>
      </c>
    </row>
    <row r="10" spans="1:16" x14ac:dyDescent="0.35">
      <c r="A10" s="83">
        <v>7</v>
      </c>
      <c r="B10" s="61">
        <v>17</v>
      </c>
      <c r="C10" s="61">
        <v>27</v>
      </c>
      <c r="D10" s="62">
        <v>37</v>
      </c>
      <c r="E10" s="60">
        <v>7</v>
      </c>
      <c r="F10" s="61">
        <v>15</v>
      </c>
      <c r="G10" s="88">
        <v>23</v>
      </c>
      <c r="H10" s="62">
        <v>31</v>
      </c>
      <c r="I10" s="60">
        <v>7</v>
      </c>
      <c r="J10" s="61">
        <v>13</v>
      </c>
      <c r="K10" s="61">
        <v>29</v>
      </c>
      <c r="L10" s="92">
        <v>35</v>
      </c>
      <c r="M10" s="60">
        <v>7</v>
      </c>
      <c r="N10" s="88">
        <v>11</v>
      </c>
      <c r="O10" s="61">
        <v>25</v>
      </c>
      <c r="P10" s="62">
        <v>39</v>
      </c>
    </row>
    <row r="11" spans="1:16" x14ac:dyDescent="0.35">
      <c r="A11" s="84">
        <v>8</v>
      </c>
      <c r="B11" s="50">
        <v>18</v>
      </c>
      <c r="C11" s="50">
        <v>28</v>
      </c>
      <c r="D11" s="51">
        <v>38</v>
      </c>
      <c r="E11" s="75">
        <v>8</v>
      </c>
      <c r="F11" s="76">
        <v>16</v>
      </c>
      <c r="G11" s="87">
        <v>24</v>
      </c>
      <c r="H11" s="77">
        <v>32</v>
      </c>
      <c r="I11" s="49">
        <v>8</v>
      </c>
      <c r="J11" s="50">
        <v>14</v>
      </c>
      <c r="K11" s="50">
        <v>30</v>
      </c>
      <c r="L11" s="91">
        <v>36</v>
      </c>
      <c r="M11" s="75">
        <v>8</v>
      </c>
      <c r="N11" s="87">
        <v>12</v>
      </c>
      <c r="O11" s="76">
        <v>26</v>
      </c>
      <c r="P11" s="77">
        <v>40</v>
      </c>
    </row>
    <row r="12" spans="1:16" x14ac:dyDescent="0.35">
      <c r="A12" s="83">
        <v>9</v>
      </c>
      <c r="B12" s="61">
        <v>19</v>
      </c>
      <c r="C12" s="61">
        <v>29</v>
      </c>
      <c r="D12" s="62">
        <v>39</v>
      </c>
      <c r="E12" s="60">
        <v>9</v>
      </c>
      <c r="F12" s="61">
        <v>17</v>
      </c>
      <c r="G12" s="88">
        <v>25</v>
      </c>
      <c r="H12" s="62">
        <v>33</v>
      </c>
      <c r="I12" s="60">
        <v>9</v>
      </c>
      <c r="J12" s="61">
        <v>15</v>
      </c>
      <c r="K12" s="61">
        <v>21</v>
      </c>
      <c r="L12" s="92">
        <v>37</v>
      </c>
      <c r="M12" s="60">
        <v>9</v>
      </c>
      <c r="N12" s="88">
        <v>13</v>
      </c>
      <c r="O12" s="61">
        <v>27</v>
      </c>
      <c r="P12" s="62">
        <v>31</v>
      </c>
    </row>
    <row r="13" spans="1:16" x14ac:dyDescent="0.35">
      <c r="A13" s="84">
        <v>10</v>
      </c>
      <c r="B13" s="50">
        <v>20</v>
      </c>
      <c r="C13" s="50">
        <v>30</v>
      </c>
      <c r="D13" s="51">
        <v>40</v>
      </c>
      <c r="E13" s="75">
        <v>10</v>
      </c>
      <c r="F13" s="76">
        <v>18</v>
      </c>
      <c r="G13" s="87">
        <v>26</v>
      </c>
      <c r="H13" s="77">
        <v>34</v>
      </c>
      <c r="I13" s="49">
        <v>10</v>
      </c>
      <c r="J13" s="50">
        <v>16</v>
      </c>
      <c r="K13" s="50">
        <v>22</v>
      </c>
      <c r="L13" s="91">
        <v>38</v>
      </c>
      <c r="M13" s="75">
        <v>10</v>
      </c>
      <c r="N13" s="87">
        <v>14</v>
      </c>
      <c r="O13" s="76">
        <v>28</v>
      </c>
      <c r="P13" s="77">
        <v>32</v>
      </c>
    </row>
    <row r="14" spans="1:16" ht="15" thickBot="1" x14ac:dyDescent="0.4"/>
    <row r="15" spans="1:16" x14ac:dyDescent="0.35">
      <c r="A15" s="108" t="s">
        <v>34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0"/>
    </row>
    <row r="16" spans="1:16" ht="5.25" customHeight="1" thickBot="1" x14ac:dyDescent="0.4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3"/>
    </row>
    <row r="17" spans="1:16" ht="15" thickBot="1" x14ac:dyDescent="0.4">
      <c r="A17" s="102" t="s">
        <v>30</v>
      </c>
      <c r="B17" s="103"/>
      <c r="C17" s="103"/>
      <c r="D17" s="104"/>
      <c r="E17" s="105" t="s">
        <v>31</v>
      </c>
      <c r="F17" s="106"/>
      <c r="G17" s="106"/>
      <c r="H17" s="107"/>
      <c r="I17" s="102" t="s">
        <v>32</v>
      </c>
      <c r="J17" s="103"/>
      <c r="K17" s="103"/>
      <c r="L17" s="104"/>
      <c r="M17" s="105" t="s">
        <v>33</v>
      </c>
      <c r="N17" s="106"/>
      <c r="O17" s="106"/>
      <c r="P17" s="107"/>
    </row>
    <row r="18" spans="1:16" x14ac:dyDescent="0.35">
      <c r="A18" s="57">
        <v>6</v>
      </c>
      <c r="B18" s="86">
        <v>21</v>
      </c>
      <c r="C18" s="58">
        <v>26</v>
      </c>
      <c r="D18" s="59">
        <v>1</v>
      </c>
      <c r="E18" s="57">
        <v>6</v>
      </c>
      <c r="F18" s="58">
        <v>23</v>
      </c>
      <c r="G18" s="58">
        <v>30</v>
      </c>
      <c r="H18" s="90">
        <v>37</v>
      </c>
      <c r="I18" s="57">
        <v>6</v>
      </c>
      <c r="J18" s="58">
        <v>25</v>
      </c>
      <c r="K18" s="86">
        <v>34</v>
      </c>
      <c r="L18" s="59">
        <v>3</v>
      </c>
      <c r="M18" s="81">
        <v>6</v>
      </c>
      <c r="N18" s="58">
        <v>19</v>
      </c>
      <c r="O18" s="58">
        <v>32</v>
      </c>
      <c r="P18" s="59">
        <v>5</v>
      </c>
    </row>
    <row r="19" spans="1:16" x14ac:dyDescent="0.35">
      <c r="A19" s="94">
        <v>7</v>
      </c>
      <c r="B19" s="95">
        <v>22</v>
      </c>
      <c r="C19" s="55">
        <v>27</v>
      </c>
      <c r="D19" s="56">
        <v>2</v>
      </c>
      <c r="E19" s="75">
        <v>7</v>
      </c>
      <c r="F19" s="76">
        <v>24</v>
      </c>
      <c r="G19" s="76">
        <v>31</v>
      </c>
      <c r="H19" s="98">
        <v>38</v>
      </c>
      <c r="I19" s="49">
        <v>7</v>
      </c>
      <c r="J19" s="50">
        <v>16</v>
      </c>
      <c r="K19" s="96">
        <v>35</v>
      </c>
      <c r="L19" s="51">
        <v>4</v>
      </c>
      <c r="M19" s="100">
        <v>7</v>
      </c>
      <c r="N19" s="76">
        <v>20</v>
      </c>
      <c r="O19" s="76">
        <v>33</v>
      </c>
      <c r="P19" s="77">
        <v>36</v>
      </c>
    </row>
    <row r="20" spans="1:16" x14ac:dyDescent="0.35">
      <c r="A20" s="60">
        <v>8</v>
      </c>
      <c r="B20" s="88">
        <v>23</v>
      </c>
      <c r="C20" s="61">
        <v>28</v>
      </c>
      <c r="D20" s="62">
        <v>3</v>
      </c>
      <c r="E20" s="60">
        <v>8</v>
      </c>
      <c r="F20" s="61">
        <v>25</v>
      </c>
      <c r="G20" s="61">
        <v>32</v>
      </c>
      <c r="H20" s="92">
        <v>39</v>
      </c>
      <c r="I20" s="60">
        <v>8</v>
      </c>
      <c r="J20" s="61">
        <v>17</v>
      </c>
      <c r="K20" s="88">
        <v>26</v>
      </c>
      <c r="L20" s="62">
        <v>5</v>
      </c>
      <c r="M20" s="83">
        <v>8</v>
      </c>
      <c r="N20" s="61">
        <v>21</v>
      </c>
      <c r="O20" s="61">
        <v>34</v>
      </c>
      <c r="P20" s="62">
        <v>37</v>
      </c>
    </row>
    <row r="21" spans="1:16" x14ac:dyDescent="0.35">
      <c r="A21" s="94">
        <v>9</v>
      </c>
      <c r="B21" s="95">
        <v>24</v>
      </c>
      <c r="C21" s="55">
        <v>29</v>
      </c>
      <c r="D21" s="56">
        <v>4</v>
      </c>
      <c r="E21" s="75">
        <v>9</v>
      </c>
      <c r="F21" s="76">
        <v>16</v>
      </c>
      <c r="G21" s="76">
        <v>33</v>
      </c>
      <c r="H21" s="98">
        <v>40</v>
      </c>
      <c r="I21" s="49">
        <v>9</v>
      </c>
      <c r="J21" s="50">
        <v>18</v>
      </c>
      <c r="K21" s="96">
        <v>27</v>
      </c>
      <c r="L21" s="51">
        <v>36</v>
      </c>
      <c r="M21" s="100">
        <v>9</v>
      </c>
      <c r="N21" s="76">
        <v>22</v>
      </c>
      <c r="O21" s="76">
        <v>35</v>
      </c>
      <c r="P21" s="77">
        <v>38</v>
      </c>
    </row>
    <row r="22" spans="1:16" x14ac:dyDescent="0.35">
      <c r="A22" s="60">
        <v>10</v>
      </c>
      <c r="B22" s="88">
        <v>25</v>
      </c>
      <c r="C22" s="61">
        <v>30</v>
      </c>
      <c r="D22" s="62">
        <v>5</v>
      </c>
      <c r="E22" s="60">
        <v>10</v>
      </c>
      <c r="F22" s="61">
        <v>17</v>
      </c>
      <c r="G22" s="61">
        <v>34</v>
      </c>
      <c r="H22" s="92">
        <v>1</v>
      </c>
      <c r="I22" s="60">
        <v>10</v>
      </c>
      <c r="J22" s="61">
        <v>19</v>
      </c>
      <c r="K22" s="88">
        <v>28</v>
      </c>
      <c r="L22" s="62">
        <v>37</v>
      </c>
      <c r="M22" s="83">
        <v>10</v>
      </c>
      <c r="N22" s="61">
        <v>23</v>
      </c>
      <c r="O22" s="61">
        <v>26</v>
      </c>
      <c r="P22" s="62">
        <v>39</v>
      </c>
    </row>
    <row r="23" spans="1:16" x14ac:dyDescent="0.35">
      <c r="A23" s="94">
        <v>11</v>
      </c>
      <c r="B23" s="95">
        <v>16</v>
      </c>
      <c r="C23" s="55">
        <v>31</v>
      </c>
      <c r="D23" s="56">
        <v>36</v>
      </c>
      <c r="E23" s="75">
        <v>11</v>
      </c>
      <c r="F23" s="76">
        <v>18</v>
      </c>
      <c r="G23" s="76">
        <v>35</v>
      </c>
      <c r="H23" s="98">
        <v>2</v>
      </c>
      <c r="I23" s="49">
        <v>11</v>
      </c>
      <c r="J23" s="50">
        <v>20</v>
      </c>
      <c r="K23" s="96">
        <v>29</v>
      </c>
      <c r="L23" s="51">
        <v>38</v>
      </c>
      <c r="M23" s="100">
        <v>11</v>
      </c>
      <c r="N23" s="76">
        <v>24</v>
      </c>
      <c r="O23" s="76">
        <v>27</v>
      </c>
      <c r="P23" s="77">
        <v>40</v>
      </c>
    </row>
    <row r="24" spans="1:16" x14ac:dyDescent="0.35">
      <c r="A24" s="60">
        <v>12</v>
      </c>
      <c r="B24" s="88">
        <v>17</v>
      </c>
      <c r="C24" s="61">
        <v>32</v>
      </c>
      <c r="D24" s="62">
        <v>37</v>
      </c>
      <c r="E24" s="60">
        <v>12</v>
      </c>
      <c r="F24" s="61">
        <v>19</v>
      </c>
      <c r="G24" s="61">
        <v>26</v>
      </c>
      <c r="H24" s="92">
        <v>3</v>
      </c>
      <c r="I24" s="60">
        <v>12</v>
      </c>
      <c r="J24" s="61">
        <v>21</v>
      </c>
      <c r="K24" s="88">
        <v>30</v>
      </c>
      <c r="L24" s="62">
        <v>39</v>
      </c>
      <c r="M24" s="83">
        <v>12</v>
      </c>
      <c r="N24" s="61">
        <v>25</v>
      </c>
      <c r="O24" s="61">
        <v>28</v>
      </c>
      <c r="P24" s="62">
        <v>1</v>
      </c>
    </row>
    <row r="25" spans="1:16" x14ac:dyDescent="0.35">
      <c r="A25" s="49">
        <v>13</v>
      </c>
      <c r="B25" s="96">
        <v>18</v>
      </c>
      <c r="C25" s="50">
        <v>33</v>
      </c>
      <c r="D25" s="51">
        <v>38</v>
      </c>
      <c r="E25" s="75">
        <v>13</v>
      </c>
      <c r="F25" s="76">
        <v>20</v>
      </c>
      <c r="G25" s="76">
        <v>27</v>
      </c>
      <c r="H25" s="98">
        <v>4</v>
      </c>
      <c r="I25" s="49">
        <v>13</v>
      </c>
      <c r="J25" s="50">
        <v>22</v>
      </c>
      <c r="K25" s="96">
        <v>31</v>
      </c>
      <c r="L25" s="51">
        <v>40</v>
      </c>
      <c r="M25" s="100">
        <v>13</v>
      </c>
      <c r="N25" s="76">
        <v>16</v>
      </c>
      <c r="O25" s="76">
        <v>29</v>
      </c>
      <c r="P25" s="77">
        <v>2</v>
      </c>
    </row>
    <row r="26" spans="1:16" x14ac:dyDescent="0.35">
      <c r="A26" s="60">
        <v>14</v>
      </c>
      <c r="B26" s="88">
        <v>19</v>
      </c>
      <c r="C26" s="61">
        <v>34</v>
      </c>
      <c r="D26" s="62">
        <v>39</v>
      </c>
      <c r="E26" s="60">
        <v>14</v>
      </c>
      <c r="F26" s="61">
        <v>21</v>
      </c>
      <c r="G26" s="61">
        <v>28</v>
      </c>
      <c r="H26" s="92">
        <v>5</v>
      </c>
      <c r="I26" s="60">
        <v>14</v>
      </c>
      <c r="J26" s="61">
        <v>23</v>
      </c>
      <c r="K26" s="88">
        <v>32</v>
      </c>
      <c r="L26" s="62">
        <v>1</v>
      </c>
      <c r="M26" s="83">
        <v>14</v>
      </c>
      <c r="N26" s="61">
        <v>17</v>
      </c>
      <c r="O26" s="61">
        <v>30</v>
      </c>
      <c r="P26" s="62">
        <v>3</v>
      </c>
    </row>
    <row r="27" spans="1:16" x14ac:dyDescent="0.35">
      <c r="A27" s="49">
        <v>15</v>
      </c>
      <c r="B27" s="96">
        <v>20</v>
      </c>
      <c r="C27" s="50">
        <v>35</v>
      </c>
      <c r="D27" s="51">
        <v>40</v>
      </c>
      <c r="E27" s="75">
        <v>15</v>
      </c>
      <c r="F27" s="76">
        <v>22</v>
      </c>
      <c r="G27" s="76">
        <v>29</v>
      </c>
      <c r="H27" s="98">
        <v>36</v>
      </c>
      <c r="I27" s="49">
        <v>15</v>
      </c>
      <c r="J27" s="50">
        <v>24</v>
      </c>
      <c r="K27" s="96">
        <v>33</v>
      </c>
      <c r="L27" s="51">
        <v>2</v>
      </c>
      <c r="M27" s="100">
        <v>15</v>
      </c>
      <c r="N27" s="76">
        <v>18</v>
      </c>
      <c r="O27" s="76">
        <v>31</v>
      </c>
      <c r="P27" s="77">
        <v>4</v>
      </c>
    </row>
  </sheetData>
  <mergeCells count="10">
    <mergeCell ref="A17:D17"/>
    <mergeCell ref="E17:H17"/>
    <mergeCell ref="I17:L17"/>
    <mergeCell ref="M17:P17"/>
    <mergeCell ref="A1:P2"/>
    <mergeCell ref="A3:D3"/>
    <mergeCell ref="E3:H3"/>
    <mergeCell ref="I3:L3"/>
    <mergeCell ref="M3:P3"/>
    <mergeCell ref="A15:P16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L82"/>
  <sheetViews>
    <sheetView topLeftCell="Q1" workbookViewId="0">
      <selection activeCell="X28" sqref="X28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2</v>
      </c>
      <c r="D1">
        <f>FLOOR(3*$B$2/32,1)</f>
        <v>3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5</v>
      </c>
      <c r="X1" s="9">
        <v>5</v>
      </c>
      <c r="Y1" s="9">
        <v>5</v>
      </c>
      <c r="Z1" s="10">
        <v>5</v>
      </c>
      <c r="AA1">
        <v>3</v>
      </c>
      <c r="AB1">
        <v>3</v>
      </c>
      <c r="AC1">
        <v>3</v>
      </c>
      <c r="AD1">
        <v>3</v>
      </c>
      <c r="AE1" s="8">
        <v>1</v>
      </c>
      <c r="AF1" s="9">
        <v>1</v>
      </c>
      <c r="AG1" s="9">
        <v>1</v>
      </c>
      <c r="AH1" s="10">
        <v>1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40</v>
      </c>
      <c r="C2">
        <v>4</v>
      </c>
      <c r="D2">
        <v>8</v>
      </c>
      <c r="E2">
        <v>8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2" si="0">MOD($A3-G$1*G$2,$B$2/4)+G$2*$B$2/4+1</f>
        <v>1</v>
      </c>
      <c r="H3" s="64">
        <f t="shared" si="0"/>
        <v>11</v>
      </c>
      <c r="I3" s="64">
        <f t="shared" si="0"/>
        <v>21</v>
      </c>
      <c r="J3" s="65">
        <f t="shared" si="0"/>
        <v>31</v>
      </c>
      <c r="K3" s="63">
        <f t="shared" si="0"/>
        <v>1</v>
      </c>
      <c r="L3" s="64">
        <f t="shared" si="0"/>
        <v>19</v>
      </c>
      <c r="M3" s="64">
        <f t="shared" si="0"/>
        <v>27</v>
      </c>
      <c r="N3" s="65">
        <f t="shared" si="0"/>
        <v>35</v>
      </c>
      <c r="O3" s="63">
        <f t="shared" si="0"/>
        <v>1</v>
      </c>
      <c r="P3" s="64">
        <f t="shared" si="0"/>
        <v>17</v>
      </c>
      <c r="Q3" s="64">
        <f t="shared" si="0"/>
        <v>23</v>
      </c>
      <c r="R3" s="65">
        <f t="shared" si="0"/>
        <v>39</v>
      </c>
      <c r="S3" s="63">
        <f t="shared" si="0"/>
        <v>1</v>
      </c>
      <c r="T3" s="64">
        <f t="shared" si="0"/>
        <v>15</v>
      </c>
      <c r="U3" s="64">
        <f t="shared" si="0"/>
        <v>29</v>
      </c>
      <c r="V3" s="65">
        <f t="shared" si="0"/>
        <v>33</v>
      </c>
      <c r="W3" s="46">
        <f t="shared" ref="W3:AL12" si="1">MOD(MOD($A3-W$1*W$2,$B$2/4)+W$2*$B$2/4+ROUND($B$2/8,0),$B$2)+1</f>
        <v>6</v>
      </c>
      <c r="X3" s="46">
        <f t="shared" si="1"/>
        <v>21</v>
      </c>
      <c r="Y3" s="46">
        <f t="shared" si="1"/>
        <v>26</v>
      </c>
      <c r="Z3" s="46">
        <f t="shared" si="1"/>
        <v>1</v>
      </c>
      <c r="AA3" s="46">
        <f t="shared" si="1"/>
        <v>6</v>
      </c>
      <c r="AB3" s="46">
        <f t="shared" si="1"/>
        <v>23</v>
      </c>
      <c r="AC3" s="46">
        <f t="shared" si="1"/>
        <v>30</v>
      </c>
      <c r="AD3" s="46">
        <f t="shared" si="1"/>
        <v>37</v>
      </c>
      <c r="AE3" s="46">
        <f t="shared" si="1"/>
        <v>6</v>
      </c>
      <c r="AF3" s="46">
        <f t="shared" si="1"/>
        <v>25</v>
      </c>
      <c r="AG3" s="46">
        <f t="shared" si="1"/>
        <v>34</v>
      </c>
      <c r="AH3" s="46">
        <f t="shared" si="1"/>
        <v>3</v>
      </c>
      <c r="AI3" s="46">
        <f t="shared" si="1"/>
        <v>6</v>
      </c>
      <c r="AJ3" s="46">
        <f t="shared" si="1"/>
        <v>19</v>
      </c>
      <c r="AK3" s="46">
        <f t="shared" si="1"/>
        <v>32</v>
      </c>
      <c r="AL3" s="46">
        <f t="shared" si="1"/>
        <v>5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12</v>
      </c>
      <c r="I4" s="40">
        <f t="shared" si="0"/>
        <v>22</v>
      </c>
      <c r="J4" s="66">
        <f t="shared" si="0"/>
        <v>32</v>
      </c>
      <c r="K4" s="43">
        <f t="shared" si="0"/>
        <v>2</v>
      </c>
      <c r="L4" s="40">
        <f t="shared" si="0"/>
        <v>20</v>
      </c>
      <c r="M4" s="40">
        <f t="shared" si="0"/>
        <v>28</v>
      </c>
      <c r="N4" s="66">
        <f t="shared" si="0"/>
        <v>36</v>
      </c>
      <c r="O4" s="43">
        <f t="shared" si="0"/>
        <v>2</v>
      </c>
      <c r="P4" s="40">
        <f t="shared" si="0"/>
        <v>18</v>
      </c>
      <c r="Q4" s="40">
        <f t="shared" si="0"/>
        <v>24</v>
      </c>
      <c r="R4" s="66">
        <f t="shared" si="0"/>
        <v>40</v>
      </c>
      <c r="S4" s="43">
        <f t="shared" si="0"/>
        <v>2</v>
      </c>
      <c r="T4" s="40">
        <f t="shared" si="0"/>
        <v>16</v>
      </c>
      <c r="U4" s="40">
        <f t="shared" si="0"/>
        <v>30</v>
      </c>
      <c r="V4" s="66">
        <f t="shared" si="0"/>
        <v>34</v>
      </c>
      <c r="W4" s="46">
        <f t="shared" si="1"/>
        <v>7</v>
      </c>
      <c r="X4" s="46">
        <f t="shared" si="1"/>
        <v>22</v>
      </c>
      <c r="Y4" s="46">
        <f t="shared" si="1"/>
        <v>27</v>
      </c>
      <c r="Z4" s="46">
        <f t="shared" si="1"/>
        <v>2</v>
      </c>
      <c r="AA4" s="46">
        <f t="shared" si="1"/>
        <v>7</v>
      </c>
      <c r="AB4" s="46">
        <f t="shared" si="1"/>
        <v>24</v>
      </c>
      <c r="AC4" s="46">
        <f t="shared" si="1"/>
        <v>31</v>
      </c>
      <c r="AD4" s="46">
        <f t="shared" si="1"/>
        <v>38</v>
      </c>
      <c r="AE4" s="46">
        <f t="shared" si="1"/>
        <v>7</v>
      </c>
      <c r="AF4" s="46">
        <f t="shared" si="1"/>
        <v>16</v>
      </c>
      <c r="AG4" s="46">
        <f t="shared" si="1"/>
        <v>35</v>
      </c>
      <c r="AH4" s="46">
        <f t="shared" si="1"/>
        <v>4</v>
      </c>
      <c r="AI4" s="46">
        <f t="shared" si="1"/>
        <v>7</v>
      </c>
      <c r="AJ4" s="46">
        <f t="shared" si="1"/>
        <v>20</v>
      </c>
      <c r="AK4" s="46">
        <f t="shared" si="1"/>
        <v>33</v>
      </c>
      <c r="AL4" s="46">
        <f t="shared" si="1"/>
        <v>36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13</v>
      </c>
      <c r="I5" s="40">
        <f t="shared" si="0"/>
        <v>23</v>
      </c>
      <c r="J5" s="66">
        <f t="shared" si="0"/>
        <v>33</v>
      </c>
      <c r="K5" s="43">
        <f t="shared" si="0"/>
        <v>3</v>
      </c>
      <c r="L5" s="40">
        <f t="shared" si="0"/>
        <v>11</v>
      </c>
      <c r="M5" s="40">
        <f t="shared" si="0"/>
        <v>29</v>
      </c>
      <c r="N5" s="66">
        <f t="shared" si="0"/>
        <v>37</v>
      </c>
      <c r="O5" s="43">
        <f t="shared" si="0"/>
        <v>3</v>
      </c>
      <c r="P5" s="40">
        <f t="shared" si="0"/>
        <v>19</v>
      </c>
      <c r="Q5" s="40">
        <f t="shared" si="0"/>
        <v>25</v>
      </c>
      <c r="R5" s="66">
        <f t="shared" si="0"/>
        <v>31</v>
      </c>
      <c r="S5" s="43">
        <f t="shared" si="0"/>
        <v>3</v>
      </c>
      <c r="T5" s="40">
        <f t="shared" si="0"/>
        <v>17</v>
      </c>
      <c r="U5" s="40">
        <f t="shared" si="0"/>
        <v>21</v>
      </c>
      <c r="V5" s="66">
        <f t="shared" si="0"/>
        <v>35</v>
      </c>
      <c r="W5" s="46">
        <f t="shared" si="1"/>
        <v>8</v>
      </c>
      <c r="X5" s="46">
        <f t="shared" si="1"/>
        <v>23</v>
      </c>
      <c r="Y5" s="46">
        <f t="shared" si="1"/>
        <v>28</v>
      </c>
      <c r="Z5" s="46">
        <f t="shared" si="1"/>
        <v>3</v>
      </c>
      <c r="AA5" s="46">
        <f t="shared" si="1"/>
        <v>8</v>
      </c>
      <c r="AB5" s="46">
        <f t="shared" si="1"/>
        <v>25</v>
      </c>
      <c r="AC5" s="46">
        <f t="shared" si="1"/>
        <v>32</v>
      </c>
      <c r="AD5" s="46">
        <f t="shared" si="1"/>
        <v>39</v>
      </c>
      <c r="AE5" s="46">
        <f t="shared" si="1"/>
        <v>8</v>
      </c>
      <c r="AF5" s="46">
        <f t="shared" si="1"/>
        <v>17</v>
      </c>
      <c r="AG5" s="46">
        <f t="shared" si="1"/>
        <v>26</v>
      </c>
      <c r="AH5" s="46">
        <f t="shared" si="1"/>
        <v>5</v>
      </c>
      <c r="AI5" s="46">
        <f t="shared" si="1"/>
        <v>8</v>
      </c>
      <c r="AJ5" s="46">
        <f t="shared" si="1"/>
        <v>21</v>
      </c>
      <c r="AK5" s="46">
        <f t="shared" si="1"/>
        <v>34</v>
      </c>
      <c r="AL5" s="46">
        <f t="shared" si="1"/>
        <v>37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14</v>
      </c>
      <c r="I6" s="40">
        <f t="shared" si="0"/>
        <v>24</v>
      </c>
      <c r="J6" s="66">
        <f t="shared" si="0"/>
        <v>34</v>
      </c>
      <c r="K6" s="43">
        <f t="shared" si="0"/>
        <v>4</v>
      </c>
      <c r="L6" s="40">
        <f t="shared" si="0"/>
        <v>12</v>
      </c>
      <c r="M6" s="40">
        <f t="shared" si="0"/>
        <v>30</v>
      </c>
      <c r="N6" s="66">
        <f t="shared" si="0"/>
        <v>38</v>
      </c>
      <c r="O6" s="43">
        <f t="shared" si="0"/>
        <v>4</v>
      </c>
      <c r="P6" s="40">
        <f t="shared" si="0"/>
        <v>20</v>
      </c>
      <c r="Q6" s="40">
        <f t="shared" si="0"/>
        <v>26</v>
      </c>
      <c r="R6" s="66">
        <f t="shared" si="0"/>
        <v>32</v>
      </c>
      <c r="S6" s="43">
        <f t="shared" si="0"/>
        <v>4</v>
      </c>
      <c r="T6" s="40">
        <f t="shared" si="0"/>
        <v>18</v>
      </c>
      <c r="U6" s="40">
        <f t="shared" si="0"/>
        <v>22</v>
      </c>
      <c r="V6" s="66">
        <f t="shared" si="0"/>
        <v>36</v>
      </c>
      <c r="W6" s="46">
        <f t="shared" si="1"/>
        <v>9</v>
      </c>
      <c r="X6" s="46">
        <f t="shared" si="1"/>
        <v>24</v>
      </c>
      <c r="Y6" s="46">
        <f t="shared" si="1"/>
        <v>29</v>
      </c>
      <c r="Z6" s="46">
        <f t="shared" si="1"/>
        <v>4</v>
      </c>
      <c r="AA6" s="46">
        <f t="shared" si="1"/>
        <v>9</v>
      </c>
      <c r="AB6" s="46">
        <f t="shared" si="1"/>
        <v>16</v>
      </c>
      <c r="AC6" s="46">
        <f t="shared" si="1"/>
        <v>33</v>
      </c>
      <c r="AD6" s="46">
        <f t="shared" si="1"/>
        <v>40</v>
      </c>
      <c r="AE6" s="46">
        <f t="shared" si="1"/>
        <v>9</v>
      </c>
      <c r="AF6" s="46">
        <f t="shared" si="1"/>
        <v>18</v>
      </c>
      <c r="AG6" s="46">
        <f t="shared" si="1"/>
        <v>27</v>
      </c>
      <c r="AH6" s="46">
        <f t="shared" si="1"/>
        <v>36</v>
      </c>
      <c r="AI6" s="46">
        <f t="shared" si="1"/>
        <v>9</v>
      </c>
      <c r="AJ6" s="46">
        <f t="shared" si="1"/>
        <v>22</v>
      </c>
      <c r="AK6" s="46">
        <f t="shared" si="1"/>
        <v>35</v>
      </c>
      <c r="AL6" s="46">
        <f t="shared" si="1"/>
        <v>38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15</v>
      </c>
      <c r="I7" s="40">
        <f t="shared" si="0"/>
        <v>25</v>
      </c>
      <c r="J7" s="66">
        <f t="shared" si="0"/>
        <v>35</v>
      </c>
      <c r="K7" s="43">
        <f t="shared" si="0"/>
        <v>5</v>
      </c>
      <c r="L7" s="40">
        <f t="shared" si="0"/>
        <v>13</v>
      </c>
      <c r="M7" s="40">
        <f t="shared" si="0"/>
        <v>21</v>
      </c>
      <c r="N7" s="66">
        <f t="shared" si="0"/>
        <v>39</v>
      </c>
      <c r="O7" s="43">
        <f t="shared" si="0"/>
        <v>5</v>
      </c>
      <c r="P7" s="40">
        <f t="shared" si="0"/>
        <v>11</v>
      </c>
      <c r="Q7" s="40">
        <f t="shared" si="0"/>
        <v>27</v>
      </c>
      <c r="R7" s="66">
        <f t="shared" si="0"/>
        <v>33</v>
      </c>
      <c r="S7" s="43">
        <f t="shared" si="0"/>
        <v>5</v>
      </c>
      <c r="T7" s="40">
        <f t="shared" si="0"/>
        <v>19</v>
      </c>
      <c r="U7" s="40">
        <f t="shared" si="0"/>
        <v>23</v>
      </c>
      <c r="V7" s="66">
        <f t="shared" si="0"/>
        <v>37</v>
      </c>
      <c r="W7" s="46">
        <f t="shared" si="1"/>
        <v>10</v>
      </c>
      <c r="X7" s="46">
        <f t="shared" si="1"/>
        <v>25</v>
      </c>
      <c r="Y7" s="46">
        <f t="shared" si="1"/>
        <v>30</v>
      </c>
      <c r="Z7" s="46">
        <f t="shared" si="1"/>
        <v>5</v>
      </c>
      <c r="AA7" s="46">
        <f t="shared" si="1"/>
        <v>10</v>
      </c>
      <c r="AB7" s="46">
        <f t="shared" si="1"/>
        <v>17</v>
      </c>
      <c r="AC7" s="46">
        <f t="shared" si="1"/>
        <v>34</v>
      </c>
      <c r="AD7" s="46">
        <f t="shared" si="1"/>
        <v>1</v>
      </c>
      <c r="AE7" s="46">
        <f t="shared" si="1"/>
        <v>10</v>
      </c>
      <c r="AF7" s="46">
        <f t="shared" si="1"/>
        <v>19</v>
      </c>
      <c r="AG7" s="46">
        <f t="shared" si="1"/>
        <v>28</v>
      </c>
      <c r="AH7" s="46">
        <f t="shared" si="1"/>
        <v>37</v>
      </c>
      <c r="AI7" s="46">
        <f t="shared" si="1"/>
        <v>10</v>
      </c>
      <c r="AJ7" s="46">
        <f t="shared" si="1"/>
        <v>23</v>
      </c>
      <c r="AK7" s="46">
        <f t="shared" si="1"/>
        <v>26</v>
      </c>
      <c r="AL7" s="46">
        <f t="shared" si="1"/>
        <v>39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16</v>
      </c>
      <c r="I8" s="40">
        <f t="shared" si="0"/>
        <v>26</v>
      </c>
      <c r="J8" s="66">
        <f t="shared" si="0"/>
        <v>36</v>
      </c>
      <c r="K8" s="43">
        <f t="shared" si="0"/>
        <v>6</v>
      </c>
      <c r="L8" s="40">
        <f t="shared" si="0"/>
        <v>14</v>
      </c>
      <c r="M8" s="40">
        <f t="shared" si="0"/>
        <v>22</v>
      </c>
      <c r="N8" s="66">
        <f t="shared" si="0"/>
        <v>40</v>
      </c>
      <c r="O8" s="43">
        <f t="shared" si="0"/>
        <v>6</v>
      </c>
      <c r="P8" s="40">
        <f t="shared" si="0"/>
        <v>12</v>
      </c>
      <c r="Q8" s="40">
        <f t="shared" si="0"/>
        <v>28</v>
      </c>
      <c r="R8" s="66">
        <f t="shared" si="0"/>
        <v>34</v>
      </c>
      <c r="S8" s="43">
        <f t="shared" si="0"/>
        <v>6</v>
      </c>
      <c r="T8" s="40">
        <f t="shared" si="0"/>
        <v>20</v>
      </c>
      <c r="U8" s="40">
        <f t="shared" si="0"/>
        <v>24</v>
      </c>
      <c r="V8" s="66">
        <f t="shared" si="0"/>
        <v>38</v>
      </c>
      <c r="W8" s="46">
        <f t="shared" si="1"/>
        <v>11</v>
      </c>
      <c r="X8" s="46">
        <f t="shared" si="1"/>
        <v>16</v>
      </c>
      <c r="Y8" s="46">
        <f t="shared" si="1"/>
        <v>31</v>
      </c>
      <c r="Z8" s="46">
        <f t="shared" si="1"/>
        <v>36</v>
      </c>
      <c r="AA8" s="46">
        <f t="shared" si="1"/>
        <v>11</v>
      </c>
      <c r="AB8" s="46">
        <f t="shared" si="1"/>
        <v>18</v>
      </c>
      <c r="AC8" s="46">
        <f t="shared" si="1"/>
        <v>35</v>
      </c>
      <c r="AD8" s="46">
        <f t="shared" si="1"/>
        <v>2</v>
      </c>
      <c r="AE8" s="46">
        <f t="shared" si="1"/>
        <v>11</v>
      </c>
      <c r="AF8" s="46">
        <f t="shared" si="1"/>
        <v>20</v>
      </c>
      <c r="AG8" s="46">
        <f t="shared" si="1"/>
        <v>29</v>
      </c>
      <c r="AH8" s="46">
        <f t="shared" si="1"/>
        <v>38</v>
      </c>
      <c r="AI8" s="46">
        <f t="shared" si="1"/>
        <v>11</v>
      </c>
      <c r="AJ8" s="46">
        <f t="shared" si="1"/>
        <v>24</v>
      </c>
      <c r="AK8" s="46">
        <f t="shared" si="1"/>
        <v>27</v>
      </c>
      <c r="AL8" s="46">
        <f t="shared" si="1"/>
        <v>40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17</v>
      </c>
      <c r="I9" s="40">
        <f t="shared" si="0"/>
        <v>27</v>
      </c>
      <c r="J9" s="66">
        <f t="shared" si="0"/>
        <v>37</v>
      </c>
      <c r="K9" s="43">
        <f t="shared" si="0"/>
        <v>7</v>
      </c>
      <c r="L9" s="40">
        <f t="shared" si="0"/>
        <v>15</v>
      </c>
      <c r="M9" s="40">
        <f t="shared" si="0"/>
        <v>23</v>
      </c>
      <c r="N9" s="66">
        <f t="shared" si="0"/>
        <v>31</v>
      </c>
      <c r="O9" s="43">
        <f t="shared" si="0"/>
        <v>7</v>
      </c>
      <c r="P9" s="40">
        <f t="shared" si="0"/>
        <v>13</v>
      </c>
      <c r="Q9" s="40">
        <f t="shared" si="0"/>
        <v>29</v>
      </c>
      <c r="R9" s="66">
        <f t="shared" si="0"/>
        <v>35</v>
      </c>
      <c r="S9" s="43">
        <f t="shared" si="0"/>
        <v>7</v>
      </c>
      <c r="T9" s="40">
        <f t="shared" si="0"/>
        <v>11</v>
      </c>
      <c r="U9" s="40">
        <f t="shared" si="0"/>
        <v>25</v>
      </c>
      <c r="V9" s="66">
        <f t="shared" si="0"/>
        <v>39</v>
      </c>
      <c r="W9" s="46">
        <f t="shared" si="1"/>
        <v>12</v>
      </c>
      <c r="X9" s="46">
        <f t="shared" si="1"/>
        <v>17</v>
      </c>
      <c r="Y9" s="46">
        <f t="shared" si="1"/>
        <v>32</v>
      </c>
      <c r="Z9" s="46">
        <f t="shared" si="1"/>
        <v>37</v>
      </c>
      <c r="AA9" s="46">
        <f t="shared" si="1"/>
        <v>12</v>
      </c>
      <c r="AB9" s="46">
        <f t="shared" si="1"/>
        <v>19</v>
      </c>
      <c r="AC9" s="46">
        <f t="shared" si="1"/>
        <v>26</v>
      </c>
      <c r="AD9" s="46">
        <f t="shared" si="1"/>
        <v>3</v>
      </c>
      <c r="AE9" s="46">
        <f t="shared" si="1"/>
        <v>12</v>
      </c>
      <c r="AF9" s="46">
        <f t="shared" si="1"/>
        <v>21</v>
      </c>
      <c r="AG9" s="46">
        <f t="shared" si="1"/>
        <v>30</v>
      </c>
      <c r="AH9" s="46">
        <f t="shared" si="1"/>
        <v>39</v>
      </c>
      <c r="AI9" s="46">
        <f t="shared" si="1"/>
        <v>12</v>
      </c>
      <c r="AJ9" s="46">
        <f t="shared" si="1"/>
        <v>25</v>
      </c>
      <c r="AK9" s="46">
        <f t="shared" si="1"/>
        <v>28</v>
      </c>
      <c r="AL9" s="46">
        <f t="shared" si="1"/>
        <v>1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18</v>
      </c>
      <c r="I10" s="40">
        <f t="shared" si="0"/>
        <v>28</v>
      </c>
      <c r="J10" s="66">
        <f t="shared" si="0"/>
        <v>38</v>
      </c>
      <c r="K10" s="43">
        <f t="shared" si="0"/>
        <v>8</v>
      </c>
      <c r="L10" s="40">
        <f t="shared" si="0"/>
        <v>16</v>
      </c>
      <c r="M10" s="40">
        <f t="shared" si="0"/>
        <v>24</v>
      </c>
      <c r="N10" s="66">
        <f t="shared" si="0"/>
        <v>32</v>
      </c>
      <c r="O10" s="43">
        <f t="shared" si="0"/>
        <v>8</v>
      </c>
      <c r="P10" s="40">
        <f t="shared" si="0"/>
        <v>14</v>
      </c>
      <c r="Q10" s="40">
        <f t="shared" si="0"/>
        <v>30</v>
      </c>
      <c r="R10" s="66">
        <f t="shared" si="0"/>
        <v>36</v>
      </c>
      <c r="S10" s="43">
        <f t="shared" si="0"/>
        <v>8</v>
      </c>
      <c r="T10" s="40">
        <f t="shared" si="0"/>
        <v>12</v>
      </c>
      <c r="U10" s="40">
        <f t="shared" si="0"/>
        <v>26</v>
      </c>
      <c r="V10" s="66">
        <f t="shared" si="0"/>
        <v>40</v>
      </c>
      <c r="W10" s="46">
        <f t="shared" si="1"/>
        <v>13</v>
      </c>
      <c r="X10" s="46">
        <f t="shared" si="1"/>
        <v>18</v>
      </c>
      <c r="Y10" s="46">
        <f t="shared" si="1"/>
        <v>33</v>
      </c>
      <c r="Z10" s="46">
        <f t="shared" si="1"/>
        <v>38</v>
      </c>
      <c r="AA10" s="46">
        <f t="shared" si="1"/>
        <v>13</v>
      </c>
      <c r="AB10" s="46">
        <f t="shared" si="1"/>
        <v>20</v>
      </c>
      <c r="AC10" s="46">
        <f t="shared" si="1"/>
        <v>27</v>
      </c>
      <c r="AD10" s="46">
        <f t="shared" si="1"/>
        <v>4</v>
      </c>
      <c r="AE10" s="46">
        <f t="shared" si="1"/>
        <v>13</v>
      </c>
      <c r="AF10" s="46">
        <f t="shared" si="1"/>
        <v>22</v>
      </c>
      <c r="AG10" s="46">
        <f t="shared" si="1"/>
        <v>31</v>
      </c>
      <c r="AH10" s="46">
        <f t="shared" si="1"/>
        <v>40</v>
      </c>
      <c r="AI10" s="46">
        <f t="shared" si="1"/>
        <v>13</v>
      </c>
      <c r="AJ10" s="46">
        <f t="shared" si="1"/>
        <v>16</v>
      </c>
      <c r="AK10" s="46">
        <f t="shared" si="1"/>
        <v>29</v>
      </c>
      <c r="AL10" s="46">
        <f t="shared" si="1"/>
        <v>2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19</v>
      </c>
      <c r="I11" s="40">
        <f t="shared" si="0"/>
        <v>29</v>
      </c>
      <c r="J11" s="66">
        <f t="shared" si="0"/>
        <v>39</v>
      </c>
      <c r="K11" s="43">
        <f t="shared" si="0"/>
        <v>9</v>
      </c>
      <c r="L11" s="40">
        <f t="shared" si="0"/>
        <v>17</v>
      </c>
      <c r="M11" s="40">
        <f t="shared" si="0"/>
        <v>25</v>
      </c>
      <c r="N11" s="66">
        <f t="shared" si="0"/>
        <v>33</v>
      </c>
      <c r="O11" s="43">
        <f t="shared" si="0"/>
        <v>9</v>
      </c>
      <c r="P11" s="40">
        <f t="shared" si="0"/>
        <v>15</v>
      </c>
      <c r="Q11" s="40">
        <f t="shared" si="0"/>
        <v>21</v>
      </c>
      <c r="R11" s="66">
        <f t="shared" si="0"/>
        <v>37</v>
      </c>
      <c r="S11" s="43">
        <f t="shared" si="0"/>
        <v>9</v>
      </c>
      <c r="T11" s="40">
        <f t="shared" si="0"/>
        <v>13</v>
      </c>
      <c r="U11" s="40">
        <f t="shared" si="0"/>
        <v>27</v>
      </c>
      <c r="V11" s="66">
        <f t="shared" si="0"/>
        <v>31</v>
      </c>
      <c r="W11" s="46">
        <f t="shared" si="1"/>
        <v>14</v>
      </c>
      <c r="X11" s="46">
        <f t="shared" si="1"/>
        <v>19</v>
      </c>
      <c r="Y11" s="46">
        <f t="shared" si="1"/>
        <v>34</v>
      </c>
      <c r="Z11" s="46">
        <f t="shared" si="1"/>
        <v>39</v>
      </c>
      <c r="AA11" s="46">
        <f t="shared" si="1"/>
        <v>14</v>
      </c>
      <c r="AB11" s="46">
        <f t="shared" si="1"/>
        <v>21</v>
      </c>
      <c r="AC11" s="46">
        <f t="shared" si="1"/>
        <v>28</v>
      </c>
      <c r="AD11" s="46">
        <f t="shared" si="1"/>
        <v>5</v>
      </c>
      <c r="AE11" s="46">
        <f t="shared" si="1"/>
        <v>14</v>
      </c>
      <c r="AF11" s="46">
        <f t="shared" si="1"/>
        <v>23</v>
      </c>
      <c r="AG11" s="46">
        <f t="shared" si="1"/>
        <v>32</v>
      </c>
      <c r="AH11" s="46">
        <f t="shared" si="1"/>
        <v>1</v>
      </c>
      <c r="AI11" s="46">
        <f t="shared" si="1"/>
        <v>14</v>
      </c>
      <c r="AJ11" s="46">
        <f t="shared" si="1"/>
        <v>17</v>
      </c>
      <c r="AK11" s="46">
        <f t="shared" si="1"/>
        <v>30</v>
      </c>
      <c r="AL11" s="46">
        <f t="shared" si="1"/>
        <v>3</v>
      </c>
    </row>
    <row r="12" spans="1:38" x14ac:dyDescent="0.35">
      <c r="A12" s="18">
        <v>9</v>
      </c>
      <c r="B12" s="19" t="s">
        <v>18</v>
      </c>
      <c r="G12" s="43">
        <f t="shared" si="0"/>
        <v>10</v>
      </c>
      <c r="H12" s="40">
        <f t="shared" si="0"/>
        <v>20</v>
      </c>
      <c r="I12" s="40">
        <f t="shared" si="0"/>
        <v>30</v>
      </c>
      <c r="J12" s="66">
        <f t="shared" si="0"/>
        <v>40</v>
      </c>
      <c r="K12" s="43">
        <f t="shared" si="0"/>
        <v>10</v>
      </c>
      <c r="L12" s="40">
        <f t="shared" si="0"/>
        <v>18</v>
      </c>
      <c r="M12" s="40">
        <f t="shared" si="0"/>
        <v>26</v>
      </c>
      <c r="N12" s="66">
        <f t="shared" si="0"/>
        <v>34</v>
      </c>
      <c r="O12" s="43">
        <f t="shared" si="0"/>
        <v>10</v>
      </c>
      <c r="P12" s="40">
        <f t="shared" si="0"/>
        <v>16</v>
      </c>
      <c r="Q12" s="40">
        <f t="shared" si="0"/>
        <v>22</v>
      </c>
      <c r="R12" s="66">
        <f t="shared" si="0"/>
        <v>38</v>
      </c>
      <c r="S12" s="43">
        <f t="shared" si="0"/>
        <v>10</v>
      </c>
      <c r="T12" s="40">
        <f t="shared" si="0"/>
        <v>14</v>
      </c>
      <c r="U12" s="40">
        <f t="shared" si="0"/>
        <v>28</v>
      </c>
      <c r="V12" s="66">
        <f t="shared" si="0"/>
        <v>32</v>
      </c>
      <c r="W12" s="46">
        <f t="shared" si="1"/>
        <v>15</v>
      </c>
      <c r="X12" s="46">
        <f t="shared" si="1"/>
        <v>20</v>
      </c>
      <c r="Y12" s="46">
        <f t="shared" si="1"/>
        <v>35</v>
      </c>
      <c r="Z12" s="46">
        <f t="shared" si="1"/>
        <v>40</v>
      </c>
      <c r="AA12" s="46">
        <f t="shared" si="1"/>
        <v>15</v>
      </c>
      <c r="AB12" s="46">
        <f t="shared" si="1"/>
        <v>22</v>
      </c>
      <c r="AC12" s="46">
        <f t="shared" si="1"/>
        <v>29</v>
      </c>
      <c r="AD12" s="46">
        <f t="shared" si="1"/>
        <v>36</v>
      </c>
      <c r="AE12" s="46">
        <f t="shared" si="1"/>
        <v>15</v>
      </c>
      <c r="AF12" s="46">
        <f t="shared" si="1"/>
        <v>24</v>
      </c>
      <c r="AG12" s="46">
        <f t="shared" si="1"/>
        <v>33</v>
      </c>
      <c r="AH12" s="46">
        <f t="shared" si="1"/>
        <v>2</v>
      </c>
      <c r="AI12" s="46">
        <f t="shared" si="1"/>
        <v>15</v>
      </c>
      <c r="AJ12" s="46">
        <f t="shared" si="1"/>
        <v>18</v>
      </c>
      <c r="AK12" s="46">
        <f t="shared" si="1"/>
        <v>31</v>
      </c>
      <c r="AL12" s="46">
        <f t="shared" si="1"/>
        <v>4</v>
      </c>
    </row>
    <row r="13" spans="1:38" x14ac:dyDescent="0.35">
      <c r="A13" s="18">
        <v>10</v>
      </c>
      <c r="B13" s="19" t="s">
        <v>18</v>
      </c>
      <c r="G13" s="43"/>
      <c r="H13" s="40"/>
      <c r="I13" s="40"/>
      <c r="J13" s="66"/>
      <c r="K13" s="43"/>
      <c r="L13" s="40"/>
      <c r="M13" s="40"/>
      <c r="N13" s="66"/>
      <c r="O13" s="43"/>
      <c r="P13" s="40"/>
      <c r="Q13" s="40"/>
      <c r="R13" s="66"/>
      <c r="S13" s="43"/>
      <c r="T13" s="40"/>
      <c r="U13" s="40"/>
      <c r="V13" s="6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35">
      <c r="A14" s="18">
        <v>11</v>
      </c>
      <c r="B14" s="19" t="s">
        <v>18</v>
      </c>
      <c r="D14">
        <f>$B$2/$C$2-$E$2/2+1</f>
        <v>7</v>
      </c>
      <c r="E14">
        <f>$B$2/$C$2+$E$2/2</f>
        <v>14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17</v>
      </c>
      <c r="E15">
        <f>2*$B$2/$C$2+$E$2/2</f>
        <v>24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27</v>
      </c>
      <c r="E16">
        <f>3*$B$2/$C$2+$E$2/2</f>
        <v>34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38</v>
      </c>
      <c r="E17">
        <f>$B$2</f>
        <v>40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12</v>
      </c>
      <c r="E19">
        <f>ROUND($B$2/$C$2+$E$2/2+$B$2/8,0)</f>
        <v>19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22</v>
      </c>
      <c r="E20">
        <f>ROUND(2*$B$2/$C$2+$E$2/2+$B$2/8,0)</f>
        <v>29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32</v>
      </c>
      <c r="E21">
        <f>ROUND(3*$B$2/$C$2+$E$2/2+$B$2/8,0)</f>
        <v>39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38</v>
      </c>
      <c r="E22">
        <f>$B$2</f>
        <v>40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2</v>
      </c>
      <c r="E23">
        <f>ROUND($B$2/$C$2+$E$2/2-$B$2/8,0)</f>
        <v>9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46" priority="6" operator="between">
      <formula>$D$17</formula>
      <formula>$E$17</formula>
    </cfRule>
    <cfRule type="cellIs" dxfId="145" priority="7" operator="between">
      <formula>$D$16</formula>
      <formula>$E$16</formula>
    </cfRule>
    <cfRule type="cellIs" dxfId="144" priority="8" operator="between">
      <formula>$D$15</formula>
      <formula>$E$15</formula>
    </cfRule>
    <cfRule type="cellIs" dxfId="143" priority="9" operator="between">
      <formula>$D$14</formula>
      <formula>$E$14</formula>
    </cfRule>
  </conditionalFormatting>
  <conditionalFormatting sqref="W3:AL22">
    <cfRule type="cellIs" dxfId="142" priority="1" operator="between">
      <formula>$D$23</formula>
      <formula>$E$23</formula>
    </cfRule>
    <cfRule type="cellIs" dxfId="141" priority="2" operator="between">
      <formula>$D$22</formula>
      <formula>$E$22</formula>
    </cfRule>
    <cfRule type="cellIs" dxfId="140" priority="3" operator="between">
      <formula>$D$21</formula>
      <formula>$E$21</formula>
    </cfRule>
    <cfRule type="cellIs" dxfId="139" priority="4" operator="between">
      <formula>$D$20</formula>
      <formula>$E$20</formula>
    </cfRule>
    <cfRule type="cellIs" dxfId="138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P25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10</v>
      </c>
      <c r="C4" s="58">
        <v>19</v>
      </c>
      <c r="D4" s="59">
        <v>28</v>
      </c>
      <c r="E4" s="57">
        <v>1</v>
      </c>
      <c r="F4" s="58">
        <v>17</v>
      </c>
      <c r="G4" s="86">
        <v>24</v>
      </c>
      <c r="H4" s="59">
        <v>31</v>
      </c>
      <c r="I4" s="57">
        <v>1</v>
      </c>
      <c r="J4" s="58">
        <v>15</v>
      </c>
      <c r="K4" s="58">
        <v>20</v>
      </c>
      <c r="L4" s="90">
        <v>34</v>
      </c>
      <c r="M4" s="57">
        <v>1</v>
      </c>
      <c r="N4" s="86">
        <v>16</v>
      </c>
      <c r="O4" s="58">
        <v>22</v>
      </c>
      <c r="P4" s="59">
        <v>28</v>
      </c>
    </row>
    <row r="5" spans="1:16" x14ac:dyDescent="0.35">
      <c r="A5" s="82">
        <v>2</v>
      </c>
      <c r="B5" s="55">
        <v>11</v>
      </c>
      <c r="C5" s="55">
        <v>20</v>
      </c>
      <c r="D5" s="56">
        <v>29</v>
      </c>
      <c r="E5" s="75">
        <v>2</v>
      </c>
      <c r="F5" s="76">
        <v>18</v>
      </c>
      <c r="G5" s="87">
        <v>25</v>
      </c>
      <c r="H5" s="77">
        <v>32</v>
      </c>
      <c r="I5" s="49">
        <v>2</v>
      </c>
      <c r="J5" s="50">
        <v>16</v>
      </c>
      <c r="K5" s="50">
        <v>21</v>
      </c>
      <c r="L5" s="91">
        <v>35</v>
      </c>
      <c r="M5" s="75">
        <v>2</v>
      </c>
      <c r="N5" s="87">
        <v>17</v>
      </c>
      <c r="O5" s="76">
        <v>23</v>
      </c>
      <c r="P5" s="77">
        <v>29</v>
      </c>
    </row>
    <row r="6" spans="1:16" x14ac:dyDescent="0.35">
      <c r="A6" s="83">
        <v>3</v>
      </c>
      <c r="B6" s="61">
        <v>12</v>
      </c>
      <c r="C6" s="61">
        <v>21</v>
      </c>
      <c r="D6" s="62">
        <v>30</v>
      </c>
      <c r="E6" s="60">
        <v>3</v>
      </c>
      <c r="F6" s="61">
        <v>10</v>
      </c>
      <c r="G6" s="88">
        <v>26</v>
      </c>
      <c r="H6" s="62">
        <v>33</v>
      </c>
      <c r="I6" s="60">
        <v>3</v>
      </c>
      <c r="J6" s="61">
        <v>17</v>
      </c>
      <c r="K6" s="61">
        <v>22</v>
      </c>
      <c r="L6" s="92">
        <v>36</v>
      </c>
      <c r="M6" s="60">
        <v>3</v>
      </c>
      <c r="N6" s="88">
        <v>18</v>
      </c>
      <c r="O6" s="61">
        <v>24</v>
      </c>
      <c r="P6" s="62">
        <v>30</v>
      </c>
    </row>
    <row r="7" spans="1:16" x14ac:dyDescent="0.35">
      <c r="A7" s="82">
        <v>4</v>
      </c>
      <c r="B7" s="55">
        <v>13</v>
      </c>
      <c r="C7" s="55">
        <v>22</v>
      </c>
      <c r="D7" s="56">
        <v>31</v>
      </c>
      <c r="E7" s="75">
        <v>4</v>
      </c>
      <c r="F7" s="76">
        <v>11</v>
      </c>
      <c r="G7" s="87">
        <v>27</v>
      </c>
      <c r="H7" s="77">
        <v>34</v>
      </c>
      <c r="I7" s="49">
        <v>4</v>
      </c>
      <c r="J7" s="50">
        <v>18</v>
      </c>
      <c r="K7" s="50">
        <v>23</v>
      </c>
      <c r="L7" s="91">
        <v>28</v>
      </c>
      <c r="M7" s="75">
        <v>4</v>
      </c>
      <c r="N7" s="87">
        <v>10</v>
      </c>
      <c r="O7" s="76">
        <v>25</v>
      </c>
      <c r="P7" s="77">
        <v>31</v>
      </c>
    </row>
    <row r="8" spans="1:16" x14ac:dyDescent="0.35">
      <c r="A8" s="83">
        <v>5</v>
      </c>
      <c r="B8" s="61">
        <v>14</v>
      </c>
      <c r="C8" s="61">
        <v>23</v>
      </c>
      <c r="D8" s="62">
        <v>32</v>
      </c>
      <c r="E8" s="60">
        <v>5</v>
      </c>
      <c r="F8" s="61">
        <v>12</v>
      </c>
      <c r="G8" s="88">
        <v>19</v>
      </c>
      <c r="H8" s="62">
        <v>35</v>
      </c>
      <c r="I8" s="60">
        <v>5</v>
      </c>
      <c r="J8" s="61">
        <v>10</v>
      </c>
      <c r="K8" s="61">
        <v>24</v>
      </c>
      <c r="L8" s="92">
        <v>29</v>
      </c>
      <c r="M8" s="60">
        <v>5</v>
      </c>
      <c r="N8" s="88">
        <v>11</v>
      </c>
      <c r="O8" s="61">
        <v>26</v>
      </c>
      <c r="P8" s="62">
        <v>32</v>
      </c>
    </row>
    <row r="9" spans="1:16" x14ac:dyDescent="0.35">
      <c r="A9" s="82">
        <v>6</v>
      </c>
      <c r="B9" s="55">
        <v>15</v>
      </c>
      <c r="C9" s="55">
        <v>24</v>
      </c>
      <c r="D9" s="56">
        <v>33</v>
      </c>
      <c r="E9" s="75">
        <v>6</v>
      </c>
      <c r="F9" s="76">
        <v>13</v>
      </c>
      <c r="G9" s="87">
        <v>20</v>
      </c>
      <c r="H9" s="77">
        <v>36</v>
      </c>
      <c r="I9" s="49">
        <v>6</v>
      </c>
      <c r="J9" s="50">
        <v>11</v>
      </c>
      <c r="K9" s="50">
        <v>25</v>
      </c>
      <c r="L9" s="91">
        <v>30</v>
      </c>
      <c r="M9" s="75">
        <v>6</v>
      </c>
      <c r="N9" s="87">
        <v>12</v>
      </c>
      <c r="O9" s="76">
        <v>27</v>
      </c>
      <c r="P9" s="77">
        <v>33</v>
      </c>
    </row>
    <row r="10" spans="1:16" x14ac:dyDescent="0.35">
      <c r="A10" s="83">
        <v>7</v>
      </c>
      <c r="B10" s="61">
        <v>16</v>
      </c>
      <c r="C10" s="61">
        <v>25</v>
      </c>
      <c r="D10" s="62">
        <v>34</v>
      </c>
      <c r="E10" s="60">
        <v>7</v>
      </c>
      <c r="F10" s="61">
        <v>14</v>
      </c>
      <c r="G10" s="88">
        <v>21</v>
      </c>
      <c r="H10" s="62">
        <v>28</v>
      </c>
      <c r="I10" s="60">
        <v>7</v>
      </c>
      <c r="J10" s="61">
        <v>12</v>
      </c>
      <c r="K10" s="61">
        <v>26</v>
      </c>
      <c r="L10" s="92">
        <v>31</v>
      </c>
      <c r="M10" s="60">
        <v>7</v>
      </c>
      <c r="N10" s="88">
        <v>13</v>
      </c>
      <c r="O10" s="61">
        <v>19</v>
      </c>
      <c r="P10" s="62">
        <v>34</v>
      </c>
    </row>
    <row r="11" spans="1:16" x14ac:dyDescent="0.35">
      <c r="A11" s="84">
        <v>8</v>
      </c>
      <c r="B11" s="50">
        <v>17</v>
      </c>
      <c r="C11" s="50">
        <v>26</v>
      </c>
      <c r="D11" s="51">
        <v>35</v>
      </c>
      <c r="E11" s="75">
        <v>8</v>
      </c>
      <c r="F11" s="76">
        <v>15</v>
      </c>
      <c r="G11" s="87">
        <v>22</v>
      </c>
      <c r="H11" s="77">
        <v>29</v>
      </c>
      <c r="I11" s="49">
        <v>8</v>
      </c>
      <c r="J11" s="50">
        <v>13</v>
      </c>
      <c r="K11" s="50">
        <v>27</v>
      </c>
      <c r="L11" s="91">
        <v>32</v>
      </c>
      <c r="M11" s="75">
        <v>8</v>
      </c>
      <c r="N11" s="87">
        <v>14</v>
      </c>
      <c r="O11" s="76">
        <v>20</v>
      </c>
      <c r="P11" s="77">
        <v>35</v>
      </c>
    </row>
    <row r="12" spans="1:16" x14ac:dyDescent="0.35">
      <c r="A12" s="83">
        <v>9</v>
      </c>
      <c r="B12" s="61">
        <v>18</v>
      </c>
      <c r="C12" s="61">
        <v>27</v>
      </c>
      <c r="D12" s="62">
        <v>36</v>
      </c>
      <c r="E12" s="60">
        <v>9</v>
      </c>
      <c r="F12" s="61">
        <v>16</v>
      </c>
      <c r="G12" s="88">
        <v>23</v>
      </c>
      <c r="H12" s="62">
        <v>30</v>
      </c>
      <c r="I12" s="60">
        <v>9</v>
      </c>
      <c r="J12" s="61">
        <v>14</v>
      </c>
      <c r="K12" s="61">
        <v>19</v>
      </c>
      <c r="L12" s="92">
        <v>33</v>
      </c>
      <c r="M12" s="60">
        <v>9</v>
      </c>
      <c r="N12" s="88">
        <v>15</v>
      </c>
      <c r="O12" s="61">
        <v>21</v>
      </c>
      <c r="P12" s="62">
        <v>36</v>
      </c>
    </row>
    <row r="13" spans="1:16" ht="15" thickBot="1" x14ac:dyDescent="0.4"/>
    <row r="14" spans="1:16" x14ac:dyDescent="0.35">
      <c r="A14" s="108" t="s">
        <v>34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5.25" customHeight="1" thickBot="1" x14ac:dyDescent="0.4">
      <c r="A15" s="111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3"/>
    </row>
    <row r="16" spans="1:16" ht="15" thickBot="1" x14ac:dyDescent="0.4">
      <c r="A16" s="102" t="s">
        <v>30</v>
      </c>
      <c r="B16" s="103"/>
      <c r="C16" s="103"/>
      <c r="D16" s="104"/>
      <c r="E16" s="105" t="s">
        <v>31</v>
      </c>
      <c r="F16" s="106"/>
      <c r="G16" s="106"/>
      <c r="H16" s="107"/>
      <c r="I16" s="102" t="s">
        <v>32</v>
      </c>
      <c r="J16" s="103"/>
      <c r="K16" s="103"/>
      <c r="L16" s="104"/>
      <c r="M16" s="105" t="s">
        <v>33</v>
      </c>
      <c r="N16" s="106"/>
      <c r="O16" s="106"/>
      <c r="P16" s="107"/>
    </row>
    <row r="17" spans="1:16" x14ac:dyDescent="0.35">
      <c r="A17" s="57">
        <v>6</v>
      </c>
      <c r="B17" s="86">
        <v>18</v>
      </c>
      <c r="C17" s="58">
        <v>30</v>
      </c>
      <c r="D17" s="59">
        <v>33</v>
      </c>
      <c r="E17" s="57">
        <v>6</v>
      </c>
      <c r="F17" s="58">
        <v>19</v>
      </c>
      <c r="G17" s="58">
        <v>32</v>
      </c>
      <c r="H17" s="90">
        <v>36</v>
      </c>
      <c r="I17" s="57">
        <v>6</v>
      </c>
      <c r="J17" s="58">
        <v>23</v>
      </c>
      <c r="K17" s="86">
        <v>31</v>
      </c>
      <c r="L17" s="59">
        <v>3</v>
      </c>
      <c r="M17" s="81">
        <v>6</v>
      </c>
      <c r="N17" s="58">
        <v>21</v>
      </c>
      <c r="O17" s="58">
        <v>27</v>
      </c>
      <c r="P17" s="59">
        <v>33</v>
      </c>
    </row>
    <row r="18" spans="1:16" x14ac:dyDescent="0.35">
      <c r="A18" s="94">
        <v>7</v>
      </c>
      <c r="B18" s="95">
        <v>19</v>
      </c>
      <c r="C18" s="55">
        <v>31</v>
      </c>
      <c r="D18" s="56">
        <v>34</v>
      </c>
      <c r="E18" s="75">
        <v>7</v>
      </c>
      <c r="F18" s="76">
        <v>20</v>
      </c>
      <c r="G18" s="76">
        <v>24</v>
      </c>
      <c r="H18" s="98">
        <v>1</v>
      </c>
      <c r="I18" s="49">
        <v>7</v>
      </c>
      <c r="J18" s="50">
        <v>15</v>
      </c>
      <c r="K18" s="96">
        <v>32</v>
      </c>
      <c r="L18" s="51">
        <v>4</v>
      </c>
      <c r="M18" s="100">
        <v>7</v>
      </c>
      <c r="N18" s="76">
        <v>22</v>
      </c>
      <c r="O18" s="76">
        <v>28</v>
      </c>
      <c r="P18" s="77">
        <v>34</v>
      </c>
    </row>
    <row r="19" spans="1:16" x14ac:dyDescent="0.35">
      <c r="A19" s="60">
        <v>8</v>
      </c>
      <c r="B19" s="88">
        <v>20</v>
      </c>
      <c r="C19" s="61">
        <v>32</v>
      </c>
      <c r="D19" s="62">
        <v>35</v>
      </c>
      <c r="E19" s="60">
        <v>8</v>
      </c>
      <c r="F19" s="61">
        <v>21</v>
      </c>
      <c r="G19" s="61">
        <v>25</v>
      </c>
      <c r="H19" s="92">
        <v>2</v>
      </c>
      <c r="I19" s="60">
        <v>8</v>
      </c>
      <c r="J19" s="61">
        <v>16</v>
      </c>
      <c r="K19" s="88">
        <v>24</v>
      </c>
      <c r="L19" s="62">
        <v>5</v>
      </c>
      <c r="M19" s="83">
        <v>8</v>
      </c>
      <c r="N19" s="61">
        <v>23</v>
      </c>
      <c r="O19" s="61">
        <v>29</v>
      </c>
      <c r="P19" s="62">
        <v>35</v>
      </c>
    </row>
    <row r="20" spans="1:16" x14ac:dyDescent="0.35">
      <c r="A20" s="94">
        <v>9</v>
      </c>
      <c r="B20" s="95">
        <v>21</v>
      </c>
      <c r="C20" s="55">
        <v>24</v>
      </c>
      <c r="D20" s="56">
        <v>36</v>
      </c>
      <c r="E20" s="75">
        <v>9</v>
      </c>
      <c r="F20" s="76">
        <v>22</v>
      </c>
      <c r="G20" s="76">
        <v>26</v>
      </c>
      <c r="H20" s="98">
        <v>3</v>
      </c>
      <c r="I20" s="49">
        <v>9</v>
      </c>
      <c r="J20" s="50">
        <v>17</v>
      </c>
      <c r="K20" s="96">
        <v>25</v>
      </c>
      <c r="L20" s="51">
        <v>33</v>
      </c>
      <c r="M20" s="100">
        <v>9</v>
      </c>
      <c r="N20" s="76">
        <v>15</v>
      </c>
      <c r="O20" s="76">
        <v>30</v>
      </c>
      <c r="P20" s="77">
        <v>36</v>
      </c>
    </row>
    <row r="21" spans="1:16" x14ac:dyDescent="0.35">
      <c r="A21" s="60">
        <v>10</v>
      </c>
      <c r="B21" s="88">
        <v>22</v>
      </c>
      <c r="C21" s="61">
        <v>25</v>
      </c>
      <c r="D21" s="62">
        <v>1</v>
      </c>
      <c r="E21" s="60">
        <v>10</v>
      </c>
      <c r="F21" s="61">
        <v>23</v>
      </c>
      <c r="G21" s="61">
        <v>27</v>
      </c>
      <c r="H21" s="92">
        <v>4</v>
      </c>
      <c r="I21" s="60">
        <v>10</v>
      </c>
      <c r="J21" s="61">
        <v>18</v>
      </c>
      <c r="K21" s="88">
        <v>26</v>
      </c>
      <c r="L21" s="62">
        <v>34</v>
      </c>
      <c r="M21" s="83">
        <v>10</v>
      </c>
      <c r="N21" s="61">
        <v>16</v>
      </c>
      <c r="O21" s="61">
        <v>31</v>
      </c>
      <c r="P21" s="62">
        <v>1</v>
      </c>
    </row>
    <row r="22" spans="1:16" x14ac:dyDescent="0.35">
      <c r="A22" s="94">
        <v>11</v>
      </c>
      <c r="B22" s="95">
        <v>23</v>
      </c>
      <c r="C22" s="55">
        <v>26</v>
      </c>
      <c r="D22" s="56">
        <v>2</v>
      </c>
      <c r="E22" s="75">
        <v>11</v>
      </c>
      <c r="F22" s="76">
        <v>15</v>
      </c>
      <c r="G22" s="76">
        <v>28</v>
      </c>
      <c r="H22" s="98">
        <v>5</v>
      </c>
      <c r="I22" s="49">
        <v>11</v>
      </c>
      <c r="J22" s="50">
        <v>19</v>
      </c>
      <c r="K22" s="96">
        <v>27</v>
      </c>
      <c r="L22" s="51">
        <v>35</v>
      </c>
      <c r="M22" s="100">
        <v>11</v>
      </c>
      <c r="N22" s="76">
        <v>17</v>
      </c>
      <c r="O22" s="76">
        <v>32</v>
      </c>
      <c r="P22" s="77">
        <v>2</v>
      </c>
    </row>
    <row r="23" spans="1:16" x14ac:dyDescent="0.35">
      <c r="A23" s="60">
        <v>12</v>
      </c>
      <c r="B23" s="88">
        <v>15</v>
      </c>
      <c r="C23" s="61">
        <v>27</v>
      </c>
      <c r="D23" s="62">
        <v>3</v>
      </c>
      <c r="E23" s="60">
        <v>12</v>
      </c>
      <c r="F23" s="61">
        <v>16</v>
      </c>
      <c r="G23" s="61">
        <v>29</v>
      </c>
      <c r="H23" s="92">
        <v>33</v>
      </c>
      <c r="I23" s="60">
        <v>12</v>
      </c>
      <c r="J23" s="61">
        <v>20</v>
      </c>
      <c r="K23" s="88">
        <v>28</v>
      </c>
      <c r="L23" s="62">
        <v>36</v>
      </c>
      <c r="M23" s="83">
        <v>12</v>
      </c>
      <c r="N23" s="61">
        <v>18</v>
      </c>
      <c r="O23" s="61">
        <v>24</v>
      </c>
      <c r="P23" s="62">
        <v>3</v>
      </c>
    </row>
    <row r="24" spans="1:16" x14ac:dyDescent="0.35">
      <c r="A24" s="49">
        <v>13</v>
      </c>
      <c r="B24" s="96">
        <v>16</v>
      </c>
      <c r="C24" s="50">
        <v>28</v>
      </c>
      <c r="D24" s="51">
        <v>4</v>
      </c>
      <c r="E24" s="75">
        <v>13</v>
      </c>
      <c r="F24" s="76">
        <v>17</v>
      </c>
      <c r="G24" s="76">
        <v>30</v>
      </c>
      <c r="H24" s="98">
        <v>34</v>
      </c>
      <c r="I24" s="49">
        <v>13</v>
      </c>
      <c r="J24" s="50">
        <v>21</v>
      </c>
      <c r="K24" s="96">
        <v>29</v>
      </c>
      <c r="L24" s="51">
        <v>1</v>
      </c>
      <c r="M24" s="100">
        <v>13</v>
      </c>
      <c r="N24" s="76">
        <v>19</v>
      </c>
      <c r="O24" s="76">
        <v>25</v>
      </c>
      <c r="P24" s="77">
        <v>4</v>
      </c>
    </row>
    <row r="25" spans="1:16" x14ac:dyDescent="0.35">
      <c r="A25" s="60">
        <v>14</v>
      </c>
      <c r="B25" s="88">
        <v>17</v>
      </c>
      <c r="C25" s="61">
        <v>29</v>
      </c>
      <c r="D25" s="62">
        <v>5</v>
      </c>
      <c r="E25" s="60">
        <v>14</v>
      </c>
      <c r="F25" s="61">
        <v>18</v>
      </c>
      <c r="G25" s="61">
        <v>31</v>
      </c>
      <c r="H25" s="92">
        <v>35</v>
      </c>
      <c r="I25" s="60">
        <v>14</v>
      </c>
      <c r="J25" s="61">
        <v>22</v>
      </c>
      <c r="K25" s="88">
        <v>30</v>
      </c>
      <c r="L25" s="62">
        <v>2</v>
      </c>
      <c r="M25" s="83">
        <v>14</v>
      </c>
      <c r="N25" s="61">
        <v>20</v>
      </c>
      <c r="O25" s="61">
        <v>26</v>
      </c>
      <c r="P25" s="62">
        <v>5</v>
      </c>
    </row>
  </sheetData>
  <mergeCells count="10">
    <mergeCell ref="A16:D16"/>
    <mergeCell ref="E16:H16"/>
    <mergeCell ref="I16:L16"/>
    <mergeCell ref="M16:P16"/>
    <mergeCell ref="A1:P2"/>
    <mergeCell ref="A3:D3"/>
    <mergeCell ref="E3:H3"/>
    <mergeCell ref="I3:L3"/>
    <mergeCell ref="M3:P3"/>
    <mergeCell ref="A14:P15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L82"/>
  <sheetViews>
    <sheetView topLeftCell="E1" workbookViewId="0">
      <selection activeCell="V3" sqref="G3:V11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2</v>
      </c>
      <c r="D1">
        <f>FLOOR(3*$B$2/32,1)</f>
        <v>3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3</v>
      </c>
      <c r="T1">
        <v>3</v>
      </c>
      <c r="U1">
        <v>3</v>
      </c>
      <c r="V1">
        <v>3</v>
      </c>
      <c r="W1" s="8">
        <v>15</v>
      </c>
      <c r="X1" s="9">
        <v>15</v>
      </c>
      <c r="Y1" s="9">
        <v>15</v>
      </c>
      <c r="Z1" s="10">
        <v>15</v>
      </c>
      <c r="AA1">
        <v>5</v>
      </c>
      <c r="AB1">
        <v>5</v>
      </c>
      <c r="AC1">
        <v>5</v>
      </c>
      <c r="AD1">
        <v>5</v>
      </c>
      <c r="AE1" s="8">
        <v>1</v>
      </c>
      <c r="AF1" s="9">
        <v>1</v>
      </c>
      <c r="AG1" s="9">
        <v>1</v>
      </c>
      <c r="AH1" s="10">
        <v>1</v>
      </c>
      <c r="AI1">
        <v>3</v>
      </c>
      <c r="AJ1">
        <v>3</v>
      </c>
      <c r="AK1">
        <v>3</v>
      </c>
      <c r="AL1">
        <v>3</v>
      </c>
    </row>
    <row r="2" spans="1:38" ht="15" thickBot="1" x14ac:dyDescent="0.4">
      <c r="A2">
        <f>CEILING(COUNTA(B3:B83)/4,1)*4</f>
        <v>80</v>
      </c>
      <c r="B2">
        <v>36</v>
      </c>
      <c r="C2">
        <v>4</v>
      </c>
      <c r="D2">
        <v>8</v>
      </c>
      <c r="E2">
        <v>4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11" si="0">MOD($A3-G$1*G$2,$B$2/4)+G$2*$B$2/4+1</f>
        <v>1</v>
      </c>
      <c r="H3" s="64">
        <f t="shared" si="0"/>
        <v>10</v>
      </c>
      <c r="I3" s="64">
        <f t="shared" si="0"/>
        <v>19</v>
      </c>
      <c r="J3" s="65">
        <f t="shared" si="0"/>
        <v>28</v>
      </c>
      <c r="K3" s="63">
        <f t="shared" si="0"/>
        <v>1</v>
      </c>
      <c r="L3" s="64">
        <f t="shared" si="0"/>
        <v>17</v>
      </c>
      <c r="M3" s="64">
        <f t="shared" si="0"/>
        <v>24</v>
      </c>
      <c r="N3" s="65">
        <f t="shared" si="0"/>
        <v>31</v>
      </c>
      <c r="O3" s="63">
        <f t="shared" si="0"/>
        <v>1</v>
      </c>
      <c r="P3" s="64">
        <f t="shared" si="0"/>
        <v>15</v>
      </c>
      <c r="Q3" s="64">
        <f t="shared" si="0"/>
        <v>20</v>
      </c>
      <c r="R3" s="65">
        <f t="shared" si="0"/>
        <v>34</v>
      </c>
      <c r="S3" s="63">
        <f t="shared" si="0"/>
        <v>1</v>
      </c>
      <c r="T3" s="64">
        <f t="shared" si="0"/>
        <v>16</v>
      </c>
      <c r="U3" s="64">
        <f t="shared" si="0"/>
        <v>22</v>
      </c>
      <c r="V3" s="65">
        <f t="shared" si="0"/>
        <v>28</v>
      </c>
      <c r="W3" s="46">
        <f t="shared" ref="W3:AL11" si="1">MOD(MOD($A3-W$1*W$2,$B$2/4)+W$2*$B$2/4+ROUND($B$2/8,0),$B$2)+1</f>
        <v>6</v>
      </c>
      <c r="X3" s="46">
        <f t="shared" si="1"/>
        <v>18</v>
      </c>
      <c r="Y3" s="46">
        <f t="shared" si="1"/>
        <v>30</v>
      </c>
      <c r="Z3" s="46">
        <f t="shared" si="1"/>
        <v>33</v>
      </c>
      <c r="AA3" s="46">
        <f t="shared" si="1"/>
        <v>6</v>
      </c>
      <c r="AB3" s="46">
        <f t="shared" si="1"/>
        <v>19</v>
      </c>
      <c r="AC3" s="46">
        <f t="shared" si="1"/>
        <v>32</v>
      </c>
      <c r="AD3" s="46">
        <f t="shared" si="1"/>
        <v>36</v>
      </c>
      <c r="AE3" s="46">
        <f t="shared" si="1"/>
        <v>6</v>
      </c>
      <c r="AF3" s="46">
        <f t="shared" si="1"/>
        <v>23</v>
      </c>
      <c r="AG3" s="46">
        <f t="shared" si="1"/>
        <v>31</v>
      </c>
      <c r="AH3" s="46">
        <f t="shared" si="1"/>
        <v>3</v>
      </c>
      <c r="AI3" s="46">
        <f t="shared" si="1"/>
        <v>6</v>
      </c>
      <c r="AJ3" s="46">
        <f t="shared" si="1"/>
        <v>21</v>
      </c>
      <c r="AK3" s="46">
        <f t="shared" si="1"/>
        <v>27</v>
      </c>
      <c r="AL3" s="46">
        <f t="shared" si="1"/>
        <v>33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11</v>
      </c>
      <c r="I4" s="40">
        <f t="shared" si="0"/>
        <v>20</v>
      </c>
      <c r="J4" s="66">
        <f t="shared" si="0"/>
        <v>29</v>
      </c>
      <c r="K4" s="43">
        <f t="shared" si="0"/>
        <v>2</v>
      </c>
      <c r="L4" s="40">
        <f t="shared" si="0"/>
        <v>18</v>
      </c>
      <c r="M4" s="40">
        <f t="shared" si="0"/>
        <v>25</v>
      </c>
      <c r="N4" s="66">
        <f t="shared" si="0"/>
        <v>32</v>
      </c>
      <c r="O4" s="43">
        <f t="shared" si="0"/>
        <v>2</v>
      </c>
      <c r="P4" s="40">
        <f t="shared" si="0"/>
        <v>16</v>
      </c>
      <c r="Q4" s="40">
        <f t="shared" si="0"/>
        <v>21</v>
      </c>
      <c r="R4" s="66">
        <f t="shared" si="0"/>
        <v>35</v>
      </c>
      <c r="S4" s="43">
        <f t="shared" si="0"/>
        <v>2</v>
      </c>
      <c r="T4" s="40">
        <f t="shared" si="0"/>
        <v>17</v>
      </c>
      <c r="U4" s="40">
        <f t="shared" si="0"/>
        <v>23</v>
      </c>
      <c r="V4" s="66">
        <f t="shared" si="0"/>
        <v>29</v>
      </c>
      <c r="W4" s="46">
        <f t="shared" si="1"/>
        <v>7</v>
      </c>
      <c r="X4" s="46">
        <f t="shared" si="1"/>
        <v>19</v>
      </c>
      <c r="Y4" s="46">
        <f t="shared" si="1"/>
        <v>31</v>
      </c>
      <c r="Z4" s="46">
        <f t="shared" si="1"/>
        <v>34</v>
      </c>
      <c r="AA4" s="46">
        <f t="shared" si="1"/>
        <v>7</v>
      </c>
      <c r="AB4" s="46">
        <f t="shared" si="1"/>
        <v>20</v>
      </c>
      <c r="AC4" s="46">
        <f t="shared" si="1"/>
        <v>24</v>
      </c>
      <c r="AD4" s="46">
        <f t="shared" si="1"/>
        <v>1</v>
      </c>
      <c r="AE4" s="46">
        <f t="shared" si="1"/>
        <v>7</v>
      </c>
      <c r="AF4" s="46">
        <f t="shared" si="1"/>
        <v>15</v>
      </c>
      <c r="AG4" s="46">
        <f t="shared" si="1"/>
        <v>32</v>
      </c>
      <c r="AH4" s="46">
        <f t="shared" si="1"/>
        <v>4</v>
      </c>
      <c r="AI4" s="46">
        <f t="shared" si="1"/>
        <v>7</v>
      </c>
      <c r="AJ4" s="46">
        <f t="shared" si="1"/>
        <v>22</v>
      </c>
      <c r="AK4" s="46">
        <f t="shared" si="1"/>
        <v>28</v>
      </c>
      <c r="AL4" s="46">
        <f t="shared" si="1"/>
        <v>34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12</v>
      </c>
      <c r="I5" s="40">
        <f t="shared" si="0"/>
        <v>21</v>
      </c>
      <c r="J5" s="66">
        <f t="shared" si="0"/>
        <v>30</v>
      </c>
      <c r="K5" s="43">
        <f t="shared" si="0"/>
        <v>3</v>
      </c>
      <c r="L5" s="40">
        <f t="shared" si="0"/>
        <v>10</v>
      </c>
      <c r="M5" s="40">
        <f t="shared" si="0"/>
        <v>26</v>
      </c>
      <c r="N5" s="66">
        <f t="shared" si="0"/>
        <v>33</v>
      </c>
      <c r="O5" s="43">
        <f t="shared" si="0"/>
        <v>3</v>
      </c>
      <c r="P5" s="40">
        <f t="shared" si="0"/>
        <v>17</v>
      </c>
      <c r="Q5" s="40">
        <f t="shared" si="0"/>
        <v>22</v>
      </c>
      <c r="R5" s="66">
        <f t="shared" si="0"/>
        <v>36</v>
      </c>
      <c r="S5" s="43">
        <f t="shared" si="0"/>
        <v>3</v>
      </c>
      <c r="T5" s="40">
        <f t="shared" si="0"/>
        <v>18</v>
      </c>
      <c r="U5" s="40">
        <f t="shared" si="0"/>
        <v>24</v>
      </c>
      <c r="V5" s="66">
        <f t="shared" si="0"/>
        <v>30</v>
      </c>
      <c r="W5" s="46">
        <f t="shared" si="1"/>
        <v>8</v>
      </c>
      <c r="X5" s="46">
        <f t="shared" si="1"/>
        <v>20</v>
      </c>
      <c r="Y5" s="46">
        <f t="shared" si="1"/>
        <v>32</v>
      </c>
      <c r="Z5" s="46">
        <f t="shared" si="1"/>
        <v>35</v>
      </c>
      <c r="AA5" s="46">
        <f t="shared" si="1"/>
        <v>8</v>
      </c>
      <c r="AB5" s="46">
        <f t="shared" si="1"/>
        <v>21</v>
      </c>
      <c r="AC5" s="46">
        <f t="shared" si="1"/>
        <v>25</v>
      </c>
      <c r="AD5" s="46">
        <f t="shared" si="1"/>
        <v>2</v>
      </c>
      <c r="AE5" s="46">
        <f t="shared" si="1"/>
        <v>8</v>
      </c>
      <c r="AF5" s="46">
        <f t="shared" si="1"/>
        <v>16</v>
      </c>
      <c r="AG5" s="46">
        <f t="shared" si="1"/>
        <v>24</v>
      </c>
      <c r="AH5" s="46">
        <f t="shared" si="1"/>
        <v>5</v>
      </c>
      <c r="AI5" s="46">
        <f t="shared" si="1"/>
        <v>8</v>
      </c>
      <c r="AJ5" s="46">
        <f t="shared" si="1"/>
        <v>23</v>
      </c>
      <c r="AK5" s="46">
        <f t="shared" si="1"/>
        <v>29</v>
      </c>
      <c r="AL5" s="46">
        <f t="shared" si="1"/>
        <v>35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13</v>
      </c>
      <c r="I6" s="40">
        <f t="shared" si="0"/>
        <v>22</v>
      </c>
      <c r="J6" s="66">
        <f t="shared" si="0"/>
        <v>31</v>
      </c>
      <c r="K6" s="43">
        <f t="shared" si="0"/>
        <v>4</v>
      </c>
      <c r="L6" s="40">
        <f t="shared" si="0"/>
        <v>11</v>
      </c>
      <c r="M6" s="40">
        <f t="shared" si="0"/>
        <v>27</v>
      </c>
      <c r="N6" s="66">
        <f t="shared" si="0"/>
        <v>34</v>
      </c>
      <c r="O6" s="43">
        <f t="shared" si="0"/>
        <v>4</v>
      </c>
      <c r="P6" s="40">
        <f t="shared" si="0"/>
        <v>18</v>
      </c>
      <c r="Q6" s="40">
        <f t="shared" si="0"/>
        <v>23</v>
      </c>
      <c r="R6" s="66">
        <f t="shared" si="0"/>
        <v>28</v>
      </c>
      <c r="S6" s="43">
        <f t="shared" si="0"/>
        <v>4</v>
      </c>
      <c r="T6" s="40">
        <f t="shared" si="0"/>
        <v>10</v>
      </c>
      <c r="U6" s="40">
        <f t="shared" si="0"/>
        <v>25</v>
      </c>
      <c r="V6" s="66">
        <f t="shared" si="0"/>
        <v>31</v>
      </c>
      <c r="W6" s="46">
        <f t="shared" si="1"/>
        <v>9</v>
      </c>
      <c r="X6" s="46">
        <f t="shared" si="1"/>
        <v>21</v>
      </c>
      <c r="Y6" s="46">
        <f t="shared" si="1"/>
        <v>24</v>
      </c>
      <c r="Z6" s="46">
        <f t="shared" si="1"/>
        <v>36</v>
      </c>
      <c r="AA6" s="46">
        <f t="shared" si="1"/>
        <v>9</v>
      </c>
      <c r="AB6" s="46">
        <f t="shared" si="1"/>
        <v>22</v>
      </c>
      <c r="AC6" s="46">
        <f t="shared" si="1"/>
        <v>26</v>
      </c>
      <c r="AD6" s="46">
        <f t="shared" si="1"/>
        <v>3</v>
      </c>
      <c r="AE6" s="46">
        <f t="shared" si="1"/>
        <v>9</v>
      </c>
      <c r="AF6" s="46">
        <f t="shared" si="1"/>
        <v>17</v>
      </c>
      <c r="AG6" s="46">
        <f t="shared" si="1"/>
        <v>25</v>
      </c>
      <c r="AH6" s="46">
        <f t="shared" si="1"/>
        <v>33</v>
      </c>
      <c r="AI6" s="46">
        <f t="shared" si="1"/>
        <v>9</v>
      </c>
      <c r="AJ6" s="46">
        <f t="shared" si="1"/>
        <v>15</v>
      </c>
      <c r="AK6" s="46">
        <f t="shared" si="1"/>
        <v>30</v>
      </c>
      <c r="AL6" s="46">
        <f t="shared" si="1"/>
        <v>36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14</v>
      </c>
      <c r="I7" s="40">
        <f t="shared" si="0"/>
        <v>23</v>
      </c>
      <c r="J7" s="66">
        <f t="shared" si="0"/>
        <v>32</v>
      </c>
      <c r="K7" s="43">
        <f t="shared" si="0"/>
        <v>5</v>
      </c>
      <c r="L7" s="40">
        <f t="shared" si="0"/>
        <v>12</v>
      </c>
      <c r="M7" s="40">
        <f t="shared" si="0"/>
        <v>19</v>
      </c>
      <c r="N7" s="66">
        <f t="shared" si="0"/>
        <v>35</v>
      </c>
      <c r="O7" s="43">
        <f t="shared" si="0"/>
        <v>5</v>
      </c>
      <c r="P7" s="40">
        <f t="shared" si="0"/>
        <v>10</v>
      </c>
      <c r="Q7" s="40">
        <f t="shared" si="0"/>
        <v>24</v>
      </c>
      <c r="R7" s="66">
        <f t="shared" si="0"/>
        <v>29</v>
      </c>
      <c r="S7" s="43">
        <f t="shared" si="0"/>
        <v>5</v>
      </c>
      <c r="T7" s="40">
        <f t="shared" si="0"/>
        <v>11</v>
      </c>
      <c r="U7" s="40">
        <f t="shared" si="0"/>
        <v>26</v>
      </c>
      <c r="V7" s="66">
        <f t="shared" si="0"/>
        <v>32</v>
      </c>
      <c r="W7" s="46">
        <f t="shared" si="1"/>
        <v>10</v>
      </c>
      <c r="X7" s="46">
        <f t="shared" si="1"/>
        <v>22</v>
      </c>
      <c r="Y7" s="46">
        <f t="shared" si="1"/>
        <v>25</v>
      </c>
      <c r="Z7" s="46">
        <f t="shared" si="1"/>
        <v>1</v>
      </c>
      <c r="AA7" s="46">
        <f t="shared" si="1"/>
        <v>10</v>
      </c>
      <c r="AB7" s="46">
        <f t="shared" si="1"/>
        <v>23</v>
      </c>
      <c r="AC7" s="46">
        <f t="shared" si="1"/>
        <v>27</v>
      </c>
      <c r="AD7" s="46">
        <f t="shared" si="1"/>
        <v>4</v>
      </c>
      <c r="AE7" s="46">
        <f t="shared" si="1"/>
        <v>10</v>
      </c>
      <c r="AF7" s="46">
        <f t="shared" si="1"/>
        <v>18</v>
      </c>
      <c r="AG7" s="46">
        <f t="shared" si="1"/>
        <v>26</v>
      </c>
      <c r="AH7" s="46">
        <f t="shared" si="1"/>
        <v>34</v>
      </c>
      <c r="AI7" s="46">
        <f t="shared" si="1"/>
        <v>10</v>
      </c>
      <c r="AJ7" s="46">
        <f t="shared" si="1"/>
        <v>16</v>
      </c>
      <c r="AK7" s="46">
        <f t="shared" si="1"/>
        <v>31</v>
      </c>
      <c r="AL7" s="46">
        <f t="shared" si="1"/>
        <v>1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15</v>
      </c>
      <c r="I8" s="40">
        <f t="shared" si="0"/>
        <v>24</v>
      </c>
      <c r="J8" s="66">
        <f t="shared" si="0"/>
        <v>33</v>
      </c>
      <c r="K8" s="43">
        <f t="shared" si="0"/>
        <v>6</v>
      </c>
      <c r="L8" s="40">
        <f t="shared" si="0"/>
        <v>13</v>
      </c>
      <c r="M8" s="40">
        <f t="shared" si="0"/>
        <v>20</v>
      </c>
      <c r="N8" s="66">
        <f t="shared" si="0"/>
        <v>36</v>
      </c>
      <c r="O8" s="43">
        <f t="shared" si="0"/>
        <v>6</v>
      </c>
      <c r="P8" s="40">
        <f t="shared" si="0"/>
        <v>11</v>
      </c>
      <c r="Q8" s="40">
        <f t="shared" si="0"/>
        <v>25</v>
      </c>
      <c r="R8" s="66">
        <f t="shared" si="0"/>
        <v>30</v>
      </c>
      <c r="S8" s="43">
        <f t="shared" si="0"/>
        <v>6</v>
      </c>
      <c r="T8" s="40">
        <f t="shared" si="0"/>
        <v>12</v>
      </c>
      <c r="U8" s="40">
        <f t="shared" si="0"/>
        <v>27</v>
      </c>
      <c r="V8" s="66">
        <f t="shared" si="0"/>
        <v>33</v>
      </c>
      <c r="W8" s="46">
        <f t="shared" si="1"/>
        <v>11</v>
      </c>
      <c r="X8" s="46">
        <f t="shared" si="1"/>
        <v>23</v>
      </c>
      <c r="Y8" s="46">
        <f t="shared" si="1"/>
        <v>26</v>
      </c>
      <c r="Z8" s="46">
        <f t="shared" si="1"/>
        <v>2</v>
      </c>
      <c r="AA8" s="46">
        <f t="shared" si="1"/>
        <v>11</v>
      </c>
      <c r="AB8" s="46">
        <f t="shared" si="1"/>
        <v>15</v>
      </c>
      <c r="AC8" s="46">
        <f t="shared" si="1"/>
        <v>28</v>
      </c>
      <c r="AD8" s="46">
        <f t="shared" si="1"/>
        <v>5</v>
      </c>
      <c r="AE8" s="46">
        <f t="shared" si="1"/>
        <v>11</v>
      </c>
      <c r="AF8" s="46">
        <f t="shared" si="1"/>
        <v>19</v>
      </c>
      <c r="AG8" s="46">
        <f t="shared" si="1"/>
        <v>27</v>
      </c>
      <c r="AH8" s="46">
        <f t="shared" si="1"/>
        <v>35</v>
      </c>
      <c r="AI8" s="46">
        <f t="shared" si="1"/>
        <v>11</v>
      </c>
      <c r="AJ8" s="46">
        <f t="shared" si="1"/>
        <v>17</v>
      </c>
      <c r="AK8" s="46">
        <f t="shared" si="1"/>
        <v>32</v>
      </c>
      <c r="AL8" s="46">
        <f t="shared" si="1"/>
        <v>2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16</v>
      </c>
      <c r="I9" s="40">
        <f t="shared" si="0"/>
        <v>25</v>
      </c>
      <c r="J9" s="66">
        <f t="shared" si="0"/>
        <v>34</v>
      </c>
      <c r="K9" s="43">
        <f t="shared" si="0"/>
        <v>7</v>
      </c>
      <c r="L9" s="40">
        <f t="shared" si="0"/>
        <v>14</v>
      </c>
      <c r="M9" s="40">
        <f t="shared" si="0"/>
        <v>21</v>
      </c>
      <c r="N9" s="66">
        <f t="shared" si="0"/>
        <v>28</v>
      </c>
      <c r="O9" s="43">
        <f t="shared" si="0"/>
        <v>7</v>
      </c>
      <c r="P9" s="40">
        <f t="shared" si="0"/>
        <v>12</v>
      </c>
      <c r="Q9" s="40">
        <f t="shared" si="0"/>
        <v>26</v>
      </c>
      <c r="R9" s="66">
        <f t="shared" si="0"/>
        <v>31</v>
      </c>
      <c r="S9" s="43">
        <f t="shared" si="0"/>
        <v>7</v>
      </c>
      <c r="T9" s="40">
        <f t="shared" si="0"/>
        <v>13</v>
      </c>
      <c r="U9" s="40">
        <f t="shared" si="0"/>
        <v>19</v>
      </c>
      <c r="V9" s="66">
        <f t="shared" si="0"/>
        <v>34</v>
      </c>
      <c r="W9" s="46">
        <f t="shared" si="1"/>
        <v>12</v>
      </c>
      <c r="X9" s="46">
        <f t="shared" si="1"/>
        <v>15</v>
      </c>
      <c r="Y9" s="46">
        <f t="shared" si="1"/>
        <v>27</v>
      </c>
      <c r="Z9" s="46">
        <f t="shared" si="1"/>
        <v>3</v>
      </c>
      <c r="AA9" s="46">
        <f t="shared" si="1"/>
        <v>12</v>
      </c>
      <c r="AB9" s="46">
        <f t="shared" si="1"/>
        <v>16</v>
      </c>
      <c r="AC9" s="46">
        <f t="shared" si="1"/>
        <v>29</v>
      </c>
      <c r="AD9" s="46">
        <f t="shared" si="1"/>
        <v>33</v>
      </c>
      <c r="AE9" s="46">
        <f t="shared" si="1"/>
        <v>12</v>
      </c>
      <c r="AF9" s="46">
        <f t="shared" si="1"/>
        <v>20</v>
      </c>
      <c r="AG9" s="46">
        <f t="shared" si="1"/>
        <v>28</v>
      </c>
      <c r="AH9" s="46">
        <f t="shared" si="1"/>
        <v>36</v>
      </c>
      <c r="AI9" s="46">
        <f t="shared" si="1"/>
        <v>12</v>
      </c>
      <c r="AJ9" s="46">
        <f t="shared" si="1"/>
        <v>18</v>
      </c>
      <c r="AK9" s="46">
        <f t="shared" si="1"/>
        <v>24</v>
      </c>
      <c r="AL9" s="46">
        <f t="shared" si="1"/>
        <v>3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0"/>
        <v>17</v>
      </c>
      <c r="I10" s="40">
        <f t="shared" si="0"/>
        <v>26</v>
      </c>
      <c r="J10" s="66">
        <f t="shared" si="0"/>
        <v>35</v>
      </c>
      <c r="K10" s="43">
        <f t="shared" si="0"/>
        <v>8</v>
      </c>
      <c r="L10" s="40">
        <f t="shared" si="0"/>
        <v>15</v>
      </c>
      <c r="M10" s="40">
        <f t="shared" si="0"/>
        <v>22</v>
      </c>
      <c r="N10" s="66">
        <f t="shared" si="0"/>
        <v>29</v>
      </c>
      <c r="O10" s="43">
        <f t="shared" si="0"/>
        <v>8</v>
      </c>
      <c r="P10" s="40">
        <f t="shared" si="0"/>
        <v>13</v>
      </c>
      <c r="Q10" s="40">
        <f t="shared" si="0"/>
        <v>27</v>
      </c>
      <c r="R10" s="66">
        <f t="shared" si="0"/>
        <v>32</v>
      </c>
      <c r="S10" s="43">
        <f t="shared" si="0"/>
        <v>8</v>
      </c>
      <c r="T10" s="40">
        <f t="shared" si="0"/>
        <v>14</v>
      </c>
      <c r="U10" s="40">
        <f t="shared" si="0"/>
        <v>20</v>
      </c>
      <c r="V10" s="66">
        <f t="shared" si="0"/>
        <v>35</v>
      </c>
      <c r="W10" s="46">
        <f t="shared" si="1"/>
        <v>13</v>
      </c>
      <c r="X10" s="46">
        <f t="shared" si="1"/>
        <v>16</v>
      </c>
      <c r="Y10" s="46">
        <f t="shared" si="1"/>
        <v>28</v>
      </c>
      <c r="Z10" s="46">
        <f t="shared" si="1"/>
        <v>4</v>
      </c>
      <c r="AA10" s="46">
        <f t="shared" si="1"/>
        <v>13</v>
      </c>
      <c r="AB10" s="46">
        <f t="shared" si="1"/>
        <v>17</v>
      </c>
      <c r="AC10" s="46">
        <f t="shared" si="1"/>
        <v>30</v>
      </c>
      <c r="AD10" s="46">
        <f t="shared" si="1"/>
        <v>34</v>
      </c>
      <c r="AE10" s="46">
        <f t="shared" si="1"/>
        <v>13</v>
      </c>
      <c r="AF10" s="46">
        <f t="shared" si="1"/>
        <v>21</v>
      </c>
      <c r="AG10" s="46">
        <f t="shared" si="1"/>
        <v>29</v>
      </c>
      <c r="AH10" s="46">
        <f t="shared" si="1"/>
        <v>1</v>
      </c>
      <c r="AI10" s="46">
        <f t="shared" si="1"/>
        <v>13</v>
      </c>
      <c r="AJ10" s="46">
        <f t="shared" si="1"/>
        <v>19</v>
      </c>
      <c r="AK10" s="46">
        <f t="shared" si="1"/>
        <v>25</v>
      </c>
      <c r="AL10" s="46">
        <f t="shared" si="1"/>
        <v>4</v>
      </c>
    </row>
    <row r="11" spans="1:38" x14ac:dyDescent="0.35">
      <c r="A11" s="18">
        <v>8</v>
      </c>
      <c r="B11" s="19" t="s">
        <v>18</v>
      </c>
      <c r="G11" s="43">
        <f t="shared" si="0"/>
        <v>9</v>
      </c>
      <c r="H11" s="40">
        <f t="shared" si="0"/>
        <v>18</v>
      </c>
      <c r="I11" s="40">
        <f t="shared" si="0"/>
        <v>27</v>
      </c>
      <c r="J11" s="66">
        <f t="shared" si="0"/>
        <v>36</v>
      </c>
      <c r="K11" s="43">
        <f t="shared" si="0"/>
        <v>9</v>
      </c>
      <c r="L11" s="40">
        <f t="shared" si="0"/>
        <v>16</v>
      </c>
      <c r="M11" s="40">
        <f t="shared" si="0"/>
        <v>23</v>
      </c>
      <c r="N11" s="66">
        <f t="shared" si="0"/>
        <v>30</v>
      </c>
      <c r="O11" s="43">
        <f t="shared" si="0"/>
        <v>9</v>
      </c>
      <c r="P11" s="40">
        <f t="shared" si="0"/>
        <v>14</v>
      </c>
      <c r="Q11" s="40">
        <f t="shared" si="0"/>
        <v>19</v>
      </c>
      <c r="R11" s="66">
        <f t="shared" si="0"/>
        <v>33</v>
      </c>
      <c r="S11" s="43">
        <f t="shared" si="0"/>
        <v>9</v>
      </c>
      <c r="T11" s="40">
        <f t="shared" si="0"/>
        <v>15</v>
      </c>
      <c r="U11" s="40">
        <f t="shared" si="0"/>
        <v>21</v>
      </c>
      <c r="V11" s="66">
        <f t="shared" si="0"/>
        <v>36</v>
      </c>
      <c r="W11" s="46">
        <f t="shared" si="1"/>
        <v>14</v>
      </c>
      <c r="X11" s="46">
        <f t="shared" si="1"/>
        <v>17</v>
      </c>
      <c r="Y11" s="46">
        <f t="shared" si="1"/>
        <v>29</v>
      </c>
      <c r="Z11" s="46">
        <f t="shared" si="1"/>
        <v>5</v>
      </c>
      <c r="AA11" s="46">
        <f t="shared" si="1"/>
        <v>14</v>
      </c>
      <c r="AB11" s="46">
        <f t="shared" si="1"/>
        <v>18</v>
      </c>
      <c r="AC11" s="46">
        <f t="shared" si="1"/>
        <v>31</v>
      </c>
      <c r="AD11" s="46">
        <f t="shared" si="1"/>
        <v>35</v>
      </c>
      <c r="AE11" s="46">
        <f t="shared" si="1"/>
        <v>14</v>
      </c>
      <c r="AF11" s="46">
        <f t="shared" si="1"/>
        <v>22</v>
      </c>
      <c r="AG11" s="46">
        <f t="shared" si="1"/>
        <v>30</v>
      </c>
      <c r="AH11" s="46">
        <f t="shared" si="1"/>
        <v>2</v>
      </c>
      <c r="AI11" s="46">
        <f t="shared" si="1"/>
        <v>14</v>
      </c>
      <c r="AJ11" s="46">
        <f t="shared" si="1"/>
        <v>20</v>
      </c>
      <c r="AK11" s="46">
        <f t="shared" si="1"/>
        <v>26</v>
      </c>
      <c r="AL11" s="46">
        <f t="shared" si="1"/>
        <v>5</v>
      </c>
    </row>
    <row r="12" spans="1:38" x14ac:dyDescent="0.35">
      <c r="A12" s="18">
        <v>9</v>
      </c>
      <c r="B12" s="19" t="s">
        <v>18</v>
      </c>
      <c r="G12" s="43"/>
      <c r="H12" s="40"/>
      <c r="I12" s="40"/>
      <c r="J12" s="66"/>
      <c r="K12" s="43"/>
      <c r="L12" s="40"/>
      <c r="M12" s="40"/>
      <c r="N12" s="66"/>
      <c r="O12" s="43"/>
      <c r="P12" s="40"/>
      <c r="Q12" s="40"/>
      <c r="R12" s="66"/>
      <c r="S12" s="43"/>
      <c r="T12" s="40"/>
      <c r="U12" s="40"/>
      <c r="V12" s="6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x14ac:dyDescent="0.35">
      <c r="A13" s="18">
        <v>10</v>
      </c>
      <c r="B13" s="19" t="s">
        <v>18</v>
      </c>
      <c r="G13" s="43"/>
      <c r="H13" s="40"/>
      <c r="I13" s="40"/>
      <c r="J13" s="66"/>
      <c r="K13" s="43"/>
      <c r="L13" s="40"/>
      <c r="M13" s="40"/>
      <c r="N13" s="66"/>
      <c r="O13" s="43"/>
      <c r="P13" s="40"/>
      <c r="Q13" s="40"/>
      <c r="R13" s="66"/>
      <c r="S13" s="43"/>
      <c r="T13" s="40"/>
      <c r="U13" s="40"/>
      <c r="V13" s="6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35">
      <c r="A14" s="18">
        <v>11</v>
      </c>
      <c r="B14" s="19" t="s">
        <v>18</v>
      </c>
      <c r="D14">
        <f>$B$2/$C$2-$E$2/2+1</f>
        <v>8</v>
      </c>
      <c r="E14">
        <f>$B$2/$C$2+$E$2/2</f>
        <v>11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17</v>
      </c>
      <c r="E15">
        <f>2*$B$2/$C$2+$E$2/2</f>
        <v>20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26</v>
      </c>
      <c r="E16">
        <f>3*$B$2/$C$2+$E$2/2</f>
        <v>29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34</v>
      </c>
      <c r="E17">
        <f>$B$2</f>
        <v>36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12.5</v>
      </c>
      <c r="E19">
        <f>ROUND($B$2/$C$2+$E$2/2+$B$2/8,0)</f>
        <v>16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21.5</v>
      </c>
      <c r="E20">
        <f>ROUND(2*$B$2/$C$2+$E$2/2+$B$2/8,0)</f>
        <v>25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30.5</v>
      </c>
      <c r="E21">
        <f>ROUND(3*$B$2/$C$2+$E$2/2+$B$2/8,0)</f>
        <v>34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34</v>
      </c>
      <c r="E22">
        <f>$B$2</f>
        <v>36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3.5</v>
      </c>
      <c r="E23">
        <f>ROUND($B$2/$C$2+$E$2/2-$B$2/8,0)</f>
        <v>7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37" priority="6" operator="between">
      <formula>$D$17</formula>
      <formula>$E$17</formula>
    </cfRule>
    <cfRule type="cellIs" dxfId="136" priority="7" operator="between">
      <formula>$D$16</formula>
      <formula>$E$16</formula>
    </cfRule>
    <cfRule type="cellIs" dxfId="135" priority="8" operator="between">
      <formula>$D$15</formula>
      <formula>$E$15</formula>
    </cfRule>
    <cfRule type="cellIs" dxfId="134" priority="9" operator="between">
      <formula>$D$14</formula>
      <formula>$E$14</formula>
    </cfRule>
  </conditionalFormatting>
  <conditionalFormatting sqref="W3:AL22">
    <cfRule type="cellIs" dxfId="133" priority="1" operator="between">
      <formula>$D$23</formula>
      <formula>$E$23</formula>
    </cfRule>
    <cfRule type="cellIs" dxfId="132" priority="2" operator="between">
      <formula>$D$22</formula>
      <formula>$E$22</formula>
    </cfRule>
    <cfRule type="cellIs" dxfId="131" priority="3" operator="between">
      <formula>$D$21</formula>
      <formula>$E$21</formula>
    </cfRule>
    <cfRule type="cellIs" dxfId="130" priority="4" operator="between">
      <formula>$D$20</formula>
      <formula>$E$20</formula>
    </cfRule>
    <cfRule type="cellIs" dxfId="129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P23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9</v>
      </c>
      <c r="C4" s="58">
        <v>17</v>
      </c>
      <c r="D4" s="59">
        <v>25</v>
      </c>
      <c r="E4" s="57">
        <v>1</v>
      </c>
      <c r="F4" s="58">
        <v>15</v>
      </c>
      <c r="G4" s="86">
        <v>21</v>
      </c>
      <c r="H4" s="59">
        <v>27</v>
      </c>
      <c r="I4" s="57">
        <v>1</v>
      </c>
      <c r="J4" s="58">
        <v>13</v>
      </c>
      <c r="K4" s="58">
        <v>17</v>
      </c>
      <c r="L4" s="90">
        <v>29</v>
      </c>
      <c r="M4" s="57">
        <v>1</v>
      </c>
      <c r="N4" s="86">
        <v>16</v>
      </c>
      <c r="O4" s="58">
        <v>23</v>
      </c>
      <c r="P4" s="59">
        <v>30</v>
      </c>
    </row>
    <row r="5" spans="1:16" x14ac:dyDescent="0.35">
      <c r="A5" s="82">
        <v>2</v>
      </c>
      <c r="B5" s="55">
        <v>10</v>
      </c>
      <c r="C5" s="55">
        <v>18</v>
      </c>
      <c r="D5" s="56">
        <v>26</v>
      </c>
      <c r="E5" s="75">
        <v>2</v>
      </c>
      <c r="F5" s="76">
        <v>16</v>
      </c>
      <c r="G5" s="87">
        <v>22</v>
      </c>
      <c r="H5" s="77">
        <v>28</v>
      </c>
      <c r="I5" s="49">
        <v>2</v>
      </c>
      <c r="J5" s="50">
        <v>14</v>
      </c>
      <c r="K5" s="50">
        <v>18</v>
      </c>
      <c r="L5" s="91">
        <v>30</v>
      </c>
      <c r="M5" s="75">
        <v>2</v>
      </c>
      <c r="N5" s="87">
        <v>9</v>
      </c>
      <c r="O5" s="76">
        <v>24</v>
      </c>
      <c r="P5" s="77">
        <v>31</v>
      </c>
    </row>
    <row r="6" spans="1:16" x14ac:dyDescent="0.35">
      <c r="A6" s="83">
        <v>3</v>
      </c>
      <c r="B6" s="61">
        <v>11</v>
      </c>
      <c r="C6" s="61">
        <v>19</v>
      </c>
      <c r="D6" s="62">
        <v>27</v>
      </c>
      <c r="E6" s="60">
        <v>3</v>
      </c>
      <c r="F6" s="61">
        <v>9</v>
      </c>
      <c r="G6" s="88">
        <v>23</v>
      </c>
      <c r="H6" s="62">
        <v>29</v>
      </c>
      <c r="I6" s="60">
        <v>3</v>
      </c>
      <c r="J6" s="61">
        <v>15</v>
      </c>
      <c r="K6" s="61">
        <v>19</v>
      </c>
      <c r="L6" s="92">
        <v>31</v>
      </c>
      <c r="M6" s="60">
        <v>3</v>
      </c>
      <c r="N6" s="88">
        <v>10</v>
      </c>
      <c r="O6" s="61">
        <v>17</v>
      </c>
      <c r="P6" s="62">
        <v>32</v>
      </c>
    </row>
    <row r="7" spans="1:16" x14ac:dyDescent="0.35">
      <c r="A7" s="82">
        <v>4</v>
      </c>
      <c r="B7" s="55">
        <v>12</v>
      </c>
      <c r="C7" s="55">
        <v>20</v>
      </c>
      <c r="D7" s="56">
        <v>28</v>
      </c>
      <c r="E7" s="75">
        <v>4</v>
      </c>
      <c r="F7" s="76">
        <v>10</v>
      </c>
      <c r="G7" s="87">
        <v>24</v>
      </c>
      <c r="H7" s="77">
        <v>30</v>
      </c>
      <c r="I7" s="49">
        <v>4</v>
      </c>
      <c r="J7" s="50">
        <v>16</v>
      </c>
      <c r="K7" s="50">
        <v>20</v>
      </c>
      <c r="L7" s="91">
        <v>32</v>
      </c>
      <c r="M7" s="75">
        <v>4</v>
      </c>
      <c r="N7" s="87">
        <v>11</v>
      </c>
      <c r="O7" s="76">
        <v>18</v>
      </c>
      <c r="P7" s="77">
        <v>25</v>
      </c>
    </row>
    <row r="8" spans="1:16" x14ac:dyDescent="0.35">
      <c r="A8" s="83">
        <v>5</v>
      </c>
      <c r="B8" s="61">
        <v>13</v>
      </c>
      <c r="C8" s="61">
        <v>21</v>
      </c>
      <c r="D8" s="62">
        <v>29</v>
      </c>
      <c r="E8" s="60">
        <v>5</v>
      </c>
      <c r="F8" s="61">
        <v>11</v>
      </c>
      <c r="G8" s="88">
        <v>17</v>
      </c>
      <c r="H8" s="62">
        <v>31</v>
      </c>
      <c r="I8" s="60">
        <v>5</v>
      </c>
      <c r="J8" s="61">
        <v>9</v>
      </c>
      <c r="K8" s="61">
        <v>21</v>
      </c>
      <c r="L8" s="92">
        <v>25</v>
      </c>
      <c r="M8" s="60">
        <v>5</v>
      </c>
      <c r="N8" s="88">
        <v>12</v>
      </c>
      <c r="O8" s="61">
        <v>19</v>
      </c>
      <c r="P8" s="62">
        <v>26</v>
      </c>
    </row>
    <row r="9" spans="1:16" x14ac:dyDescent="0.35">
      <c r="A9" s="82">
        <v>6</v>
      </c>
      <c r="B9" s="55">
        <v>14</v>
      </c>
      <c r="C9" s="55">
        <v>22</v>
      </c>
      <c r="D9" s="56">
        <v>30</v>
      </c>
      <c r="E9" s="75">
        <v>6</v>
      </c>
      <c r="F9" s="76">
        <v>12</v>
      </c>
      <c r="G9" s="87">
        <v>18</v>
      </c>
      <c r="H9" s="77">
        <v>32</v>
      </c>
      <c r="I9" s="49">
        <v>6</v>
      </c>
      <c r="J9" s="50">
        <v>10</v>
      </c>
      <c r="K9" s="50">
        <v>22</v>
      </c>
      <c r="L9" s="91">
        <v>26</v>
      </c>
      <c r="M9" s="75">
        <v>6</v>
      </c>
      <c r="N9" s="87">
        <v>13</v>
      </c>
      <c r="O9" s="76">
        <v>20</v>
      </c>
      <c r="P9" s="77">
        <v>27</v>
      </c>
    </row>
    <row r="10" spans="1:16" x14ac:dyDescent="0.35">
      <c r="A10" s="83">
        <v>7</v>
      </c>
      <c r="B10" s="61">
        <v>15</v>
      </c>
      <c r="C10" s="61">
        <v>23</v>
      </c>
      <c r="D10" s="62">
        <v>31</v>
      </c>
      <c r="E10" s="60">
        <v>7</v>
      </c>
      <c r="F10" s="61">
        <v>13</v>
      </c>
      <c r="G10" s="88">
        <v>19</v>
      </c>
      <c r="H10" s="62">
        <v>25</v>
      </c>
      <c r="I10" s="60">
        <v>7</v>
      </c>
      <c r="J10" s="61">
        <v>11</v>
      </c>
      <c r="K10" s="61">
        <v>23</v>
      </c>
      <c r="L10" s="92">
        <v>27</v>
      </c>
      <c r="M10" s="60">
        <v>7</v>
      </c>
      <c r="N10" s="88">
        <v>14</v>
      </c>
      <c r="O10" s="61">
        <v>21</v>
      </c>
      <c r="P10" s="62">
        <v>28</v>
      </c>
    </row>
    <row r="11" spans="1:16" x14ac:dyDescent="0.35">
      <c r="A11" s="84">
        <v>8</v>
      </c>
      <c r="B11" s="50">
        <v>16</v>
      </c>
      <c r="C11" s="50">
        <v>24</v>
      </c>
      <c r="D11" s="51">
        <v>32</v>
      </c>
      <c r="E11" s="75">
        <v>8</v>
      </c>
      <c r="F11" s="76">
        <v>14</v>
      </c>
      <c r="G11" s="87">
        <v>20</v>
      </c>
      <c r="H11" s="77">
        <v>26</v>
      </c>
      <c r="I11" s="49">
        <v>8</v>
      </c>
      <c r="J11" s="50">
        <v>12</v>
      </c>
      <c r="K11" s="50">
        <v>24</v>
      </c>
      <c r="L11" s="91">
        <v>28</v>
      </c>
      <c r="M11" s="75">
        <v>8</v>
      </c>
      <c r="N11" s="87">
        <v>15</v>
      </c>
      <c r="O11" s="76">
        <v>22</v>
      </c>
      <c r="P11" s="77">
        <v>29</v>
      </c>
    </row>
    <row r="12" spans="1:16" ht="15" thickBot="1" x14ac:dyDescent="0.4"/>
    <row r="13" spans="1:16" x14ac:dyDescent="0.35">
      <c r="A13" s="108" t="s">
        <v>34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10"/>
    </row>
    <row r="14" spans="1:16" ht="5.25" customHeight="1" thickBot="1" x14ac:dyDescent="0.4">
      <c r="A14" s="111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3"/>
    </row>
    <row r="15" spans="1:16" ht="15" thickBot="1" x14ac:dyDescent="0.4">
      <c r="A15" s="102" t="s">
        <v>30</v>
      </c>
      <c r="B15" s="103"/>
      <c r="C15" s="103"/>
      <c r="D15" s="104"/>
      <c r="E15" s="105" t="s">
        <v>31</v>
      </c>
      <c r="F15" s="106"/>
      <c r="G15" s="106"/>
      <c r="H15" s="107"/>
      <c r="I15" s="102" t="s">
        <v>32</v>
      </c>
      <c r="J15" s="103"/>
      <c r="K15" s="103"/>
      <c r="L15" s="104"/>
      <c r="M15" s="105" t="s">
        <v>33</v>
      </c>
      <c r="N15" s="106"/>
      <c r="O15" s="106"/>
      <c r="P15" s="107"/>
    </row>
    <row r="16" spans="1:16" x14ac:dyDescent="0.35">
      <c r="A16" s="57">
        <v>5</v>
      </c>
      <c r="B16" s="86">
        <v>16</v>
      </c>
      <c r="C16" s="58">
        <v>27</v>
      </c>
      <c r="D16" s="59">
        <v>30</v>
      </c>
      <c r="E16" s="57">
        <v>5</v>
      </c>
      <c r="F16" s="58">
        <v>18</v>
      </c>
      <c r="G16" s="58">
        <v>23</v>
      </c>
      <c r="H16" s="90">
        <v>4</v>
      </c>
      <c r="I16" s="57">
        <v>5</v>
      </c>
      <c r="J16" s="58">
        <v>14</v>
      </c>
      <c r="K16" s="86">
        <v>23</v>
      </c>
      <c r="L16" s="59">
        <v>32</v>
      </c>
      <c r="M16" s="81">
        <v>5</v>
      </c>
      <c r="N16" s="58">
        <v>20</v>
      </c>
      <c r="O16" s="58">
        <v>27</v>
      </c>
      <c r="P16" s="59">
        <v>2</v>
      </c>
    </row>
    <row r="17" spans="1:16" x14ac:dyDescent="0.35">
      <c r="A17" s="94">
        <v>6</v>
      </c>
      <c r="B17" s="95">
        <v>17</v>
      </c>
      <c r="C17" s="55">
        <v>28</v>
      </c>
      <c r="D17" s="56">
        <v>31</v>
      </c>
      <c r="E17" s="75">
        <v>6</v>
      </c>
      <c r="F17" s="76">
        <v>19</v>
      </c>
      <c r="G17" s="76">
        <v>24</v>
      </c>
      <c r="H17" s="98">
        <v>29</v>
      </c>
      <c r="I17" s="49">
        <v>6</v>
      </c>
      <c r="J17" s="50">
        <v>15</v>
      </c>
      <c r="K17" s="96">
        <v>24</v>
      </c>
      <c r="L17" s="51">
        <v>1</v>
      </c>
      <c r="M17" s="100">
        <v>6</v>
      </c>
      <c r="N17" s="76">
        <v>13</v>
      </c>
      <c r="O17" s="76">
        <v>28</v>
      </c>
      <c r="P17" s="77">
        <v>3</v>
      </c>
    </row>
    <row r="18" spans="1:16" x14ac:dyDescent="0.35">
      <c r="A18" s="60">
        <v>7</v>
      </c>
      <c r="B18" s="88">
        <v>18</v>
      </c>
      <c r="C18" s="61">
        <v>21</v>
      </c>
      <c r="D18" s="62">
        <v>32</v>
      </c>
      <c r="E18" s="60">
        <v>7</v>
      </c>
      <c r="F18" s="61">
        <v>20</v>
      </c>
      <c r="G18" s="61">
        <v>25</v>
      </c>
      <c r="H18" s="92">
        <v>30</v>
      </c>
      <c r="I18" s="60">
        <v>7</v>
      </c>
      <c r="J18" s="61">
        <v>16</v>
      </c>
      <c r="K18" s="88">
        <v>25</v>
      </c>
      <c r="L18" s="62">
        <v>2</v>
      </c>
      <c r="M18" s="83">
        <v>7</v>
      </c>
      <c r="N18" s="61">
        <v>14</v>
      </c>
      <c r="O18" s="61">
        <v>21</v>
      </c>
      <c r="P18" s="62">
        <v>4</v>
      </c>
    </row>
    <row r="19" spans="1:16" x14ac:dyDescent="0.35">
      <c r="A19" s="94">
        <v>8</v>
      </c>
      <c r="B19" s="95">
        <v>19</v>
      </c>
      <c r="C19" s="55">
        <v>22</v>
      </c>
      <c r="D19" s="56">
        <v>1</v>
      </c>
      <c r="E19" s="75">
        <v>8</v>
      </c>
      <c r="F19" s="76">
        <v>13</v>
      </c>
      <c r="G19" s="76">
        <v>26</v>
      </c>
      <c r="H19" s="98">
        <v>31</v>
      </c>
      <c r="I19" s="49">
        <v>8</v>
      </c>
      <c r="J19" s="50">
        <v>17</v>
      </c>
      <c r="K19" s="96">
        <v>26</v>
      </c>
      <c r="L19" s="51">
        <v>3</v>
      </c>
      <c r="M19" s="100">
        <v>8</v>
      </c>
      <c r="N19" s="76">
        <v>15</v>
      </c>
      <c r="O19" s="76">
        <v>22</v>
      </c>
      <c r="P19" s="77">
        <v>29</v>
      </c>
    </row>
    <row r="20" spans="1:16" x14ac:dyDescent="0.35">
      <c r="A20" s="60">
        <v>9</v>
      </c>
      <c r="B20" s="88">
        <v>20</v>
      </c>
      <c r="C20" s="61">
        <v>23</v>
      </c>
      <c r="D20" s="62">
        <v>2</v>
      </c>
      <c r="E20" s="60">
        <v>9</v>
      </c>
      <c r="F20" s="61">
        <v>14</v>
      </c>
      <c r="G20" s="61">
        <v>27</v>
      </c>
      <c r="H20" s="92">
        <v>32</v>
      </c>
      <c r="I20" s="60">
        <v>9</v>
      </c>
      <c r="J20" s="61">
        <v>18</v>
      </c>
      <c r="K20" s="88">
        <v>27</v>
      </c>
      <c r="L20" s="62">
        <v>4</v>
      </c>
      <c r="M20" s="83">
        <v>9</v>
      </c>
      <c r="N20" s="61">
        <v>16</v>
      </c>
      <c r="O20" s="61">
        <v>23</v>
      </c>
      <c r="P20" s="62">
        <v>30</v>
      </c>
    </row>
    <row r="21" spans="1:16" x14ac:dyDescent="0.35">
      <c r="A21" s="94">
        <v>10</v>
      </c>
      <c r="B21" s="95">
        <v>13</v>
      </c>
      <c r="C21" s="55">
        <v>24</v>
      </c>
      <c r="D21" s="56">
        <v>3</v>
      </c>
      <c r="E21" s="75">
        <v>10</v>
      </c>
      <c r="F21" s="76">
        <v>15</v>
      </c>
      <c r="G21" s="76">
        <v>28</v>
      </c>
      <c r="H21" s="98">
        <v>1</v>
      </c>
      <c r="I21" s="49">
        <v>10</v>
      </c>
      <c r="J21" s="50">
        <v>19</v>
      </c>
      <c r="K21" s="96">
        <v>28</v>
      </c>
      <c r="L21" s="51">
        <v>29</v>
      </c>
      <c r="M21" s="100">
        <v>10</v>
      </c>
      <c r="N21" s="76">
        <v>17</v>
      </c>
      <c r="O21" s="76">
        <v>24</v>
      </c>
      <c r="P21" s="77">
        <v>31</v>
      </c>
    </row>
    <row r="22" spans="1:16" x14ac:dyDescent="0.35">
      <c r="A22" s="60">
        <v>11</v>
      </c>
      <c r="B22" s="88">
        <v>14</v>
      </c>
      <c r="C22" s="61">
        <v>25</v>
      </c>
      <c r="D22" s="62">
        <v>4</v>
      </c>
      <c r="E22" s="60">
        <v>11</v>
      </c>
      <c r="F22" s="61">
        <v>16</v>
      </c>
      <c r="G22" s="61">
        <v>21</v>
      </c>
      <c r="H22" s="92">
        <v>2</v>
      </c>
      <c r="I22" s="60">
        <v>11</v>
      </c>
      <c r="J22" s="61">
        <v>20</v>
      </c>
      <c r="K22" s="88">
        <v>21</v>
      </c>
      <c r="L22" s="62">
        <v>30</v>
      </c>
      <c r="M22" s="83">
        <v>11</v>
      </c>
      <c r="N22" s="61">
        <v>18</v>
      </c>
      <c r="O22" s="61">
        <v>25</v>
      </c>
      <c r="P22" s="62">
        <v>32</v>
      </c>
    </row>
    <row r="23" spans="1:16" x14ac:dyDescent="0.35">
      <c r="A23" s="49">
        <v>12</v>
      </c>
      <c r="B23" s="96">
        <v>15</v>
      </c>
      <c r="C23" s="50">
        <v>26</v>
      </c>
      <c r="D23" s="51">
        <v>29</v>
      </c>
      <c r="E23" s="75">
        <v>12</v>
      </c>
      <c r="F23" s="76">
        <v>17</v>
      </c>
      <c r="G23" s="76">
        <v>22</v>
      </c>
      <c r="H23" s="98">
        <v>3</v>
      </c>
      <c r="I23" s="49">
        <v>12</v>
      </c>
      <c r="J23" s="50">
        <v>13</v>
      </c>
      <c r="K23" s="96">
        <v>22</v>
      </c>
      <c r="L23" s="51">
        <v>31</v>
      </c>
      <c r="M23" s="100">
        <v>12</v>
      </c>
      <c r="N23" s="76">
        <v>19</v>
      </c>
      <c r="O23" s="76">
        <v>26</v>
      </c>
      <c r="P23" s="77">
        <v>1</v>
      </c>
    </row>
  </sheetData>
  <mergeCells count="10">
    <mergeCell ref="A15:D15"/>
    <mergeCell ref="E15:H15"/>
    <mergeCell ref="I15:L15"/>
    <mergeCell ref="M15:P15"/>
    <mergeCell ref="A1:P2"/>
    <mergeCell ref="A3:D3"/>
    <mergeCell ref="E3:H3"/>
    <mergeCell ref="I3:L3"/>
    <mergeCell ref="M3:P3"/>
    <mergeCell ref="A13:P14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List3"/>
  <dimension ref="A1:AL82"/>
  <sheetViews>
    <sheetView topLeftCell="I1" workbookViewId="0">
      <selection activeCell="V11" sqref="V11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2</v>
      </c>
      <c r="D1">
        <f>FLOOR(3*$B$2/32,1)</f>
        <v>3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1</v>
      </c>
      <c r="T1">
        <v>1</v>
      </c>
      <c r="U1">
        <v>1</v>
      </c>
      <c r="V1">
        <v>1</v>
      </c>
      <c r="W1" s="8">
        <v>5</v>
      </c>
      <c r="X1" s="9">
        <v>5</v>
      </c>
      <c r="Y1" s="9">
        <v>5</v>
      </c>
      <c r="Z1" s="10">
        <v>5</v>
      </c>
      <c r="AA1">
        <v>3</v>
      </c>
      <c r="AB1">
        <v>3</v>
      </c>
      <c r="AC1">
        <v>3</v>
      </c>
      <c r="AD1">
        <v>3</v>
      </c>
      <c r="AE1" s="8">
        <v>7</v>
      </c>
      <c r="AF1" s="9">
        <v>7</v>
      </c>
      <c r="AG1" s="9">
        <v>7</v>
      </c>
      <c r="AH1" s="10">
        <v>7</v>
      </c>
      <c r="AI1">
        <v>1</v>
      </c>
      <c r="AJ1">
        <v>1</v>
      </c>
      <c r="AK1">
        <v>1</v>
      </c>
      <c r="AL1">
        <v>1</v>
      </c>
    </row>
    <row r="2" spans="1:38" ht="15" thickBot="1" x14ac:dyDescent="0.4">
      <c r="A2">
        <f>CEILING(COUNTA(B3:B83)/4,1)*4</f>
        <v>80</v>
      </c>
      <c r="B2">
        <v>32</v>
      </c>
      <c r="C2">
        <v>4</v>
      </c>
      <c r="D2">
        <v>8</v>
      </c>
      <c r="E2">
        <v>4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G10" si="0">MOD($A3-G$1*G$2,$B$2/4)+G$2*$B$2/4+1</f>
        <v>1</v>
      </c>
      <c r="H3" s="64">
        <f t="shared" ref="H3:V10" si="1">MOD($A3-H$1*H$2,$B$2/4)+H$2*$B$2/4+1</f>
        <v>9</v>
      </c>
      <c r="I3" s="64">
        <f t="shared" si="1"/>
        <v>17</v>
      </c>
      <c r="J3" s="65">
        <f t="shared" si="1"/>
        <v>25</v>
      </c>
      <c r="K3" s="63">
        <f t="shared" si="1"/>
        <v>1</v>
      </c>
      <c r="L3" s="64">
        <f t="shared" si="1"/>
        <v>15</v>
      </c>
      <c r="M3" s="64">
        <f t="shared" si="1"/>
        <v>21</v>
      </c>
      <c r="N3" s="65">
        <f t="shared" si="1"/>
        <v>27</v>
      </c>
      <c r="O3" s="63">
        <f t="shared" si="1"/>
        <v>1</v>
      </c>
      <c r="P3" s="64">
        <f t="shared" si="1"/>
        <v>13</v>
      </c>
      <c r="Q3" s="64">
        <f t="shared" si="1"/>
        <v>17</v>
      </c>
      <c r="R3" s="65">
        <f t="shared" si="1"/>
        <v>29</v>
      </c>
      <c r="S3" s="63">
        <f t="shared" si="1"/>
        <v>1</v>
      </c>
      <c r="T3" s="64">
        <f t="shared" si="1"/>
        <v>16</v>
      </c>
      <c r="U3" s="64">
        <f t="shared" si="1"/>
        <v>23</v>
      </c>
      <c r="V3" s="65">
        <f t="shared" si="1"/>
        <v>30</v>
      </c>
      <c r="W3" s="46">
        <f t="shared" ref="W3:W10" si="2">MOD(MOD($A3-W$1*W$2,$B$2/4)+W$2*$B$2/4+ROUND($B$2/8,0),$B$2)+1</f>
        <v>5</v>
      </c>
      <c r="X3" s="46">
        <f t="shared" ref="X3:AL10" si="3">MOD(MOD($A3-X$1*X$2,$B$2/4)+X$2*$B$2/4+ROUND($B$2/8,0),$B$2)+1</f>
        <v>16</v>
      </c>
      <c r="Y3" s="46">
        <f t="shared" si="3"/>
        <v>27</v>
      </c>
      <c r="Z3" s="46">
        <f t="shared" si="3"/>
        <v>30</v>
      </c>
      <c r="AA3" s="46">
        <f t="shared" si="3"/>
        <v>5</v>
      </c>
      <c r="AB3" s="46">
        <f t="shared" si="3"/>
        <v>18</v>
      </c>
      <c r="AC3" s="46">
        <f t="shared" si="3"/>
        <v>23</v>
      </c>
      <c r="AD3" s="46">
        <f t="shared" si="3"/>
        <v>4</v>
      </c>
      <c r="AE3" s="46">
        <f t="shared" si="3"/>
        <v>5</v>
      </c>
      <c r="AF3" s="46">
        <f t="shared" si="3"/>
        <v>14</v>
      </c>
      <c r="AG3" s="46">
        <f t="shared" si="3"/>
        <v>23</v>
      </c>
      <c r="AH3" s="46">
        <f t="shared" si="3"/>
        <v>32</v>
      </c>
      <c r="AI3" s="46">
        <f t="shared" si="3"/>
        <v>5</v>
      </c>
      <c r="AJ3" s="46">
        <f t="shared" si="3"/>
        <v>20</v>
      </c>
      <c r="AK3" s="46">
        <f t="shared" si="3"/>
        <v>27</v>
      </c>
      <c r="AL3" s="46">
        <f t="shared" si="3"/>
        <v>2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1"/>
        <v>10</v>
      </c>
      <c r="I4" s="40">
        <f t="shared" si="1"/>
        <v>18</v>
      </c>
      <c r="J4" s="66">
        <f t="shared" si="1"/>
        <v>26</v>
      </c>
      <c r="K4" s="43">
        <f t="shared" si="1"/>
        <v>2</v>
      </c>
      <c r="L4" s="40">
        <f t="shared" si="1"/>
        <v>16</v>
      </c>
      <c r="M4" s="40">
        <f t="shared" si="1"/>
        <v>22</v>
      </c>
      <c r="N4" s="66">
        <f t="shared" si="1"/>
        <v>28</v>
      </c>
      <c r="O4" s="43">
        <f t="shared" si="1"/>
        <v>2</v>
      </c>
      <c r="P4" s="40">
        <f t="shared" si="1"/>
        <v>14</v>
      </c>
      <c r="Q4" s="40">
        <f t="shared" si="1"/>
        <v>18</v>
      </c>
      <c r="R4" s="66">
        <f t="shared" si="1"/>
        <v>30</v>
      </c>
      <c r="S4" s="43">
        <f t="shared" si="1"/>
        <v>2</v>
      </c>
      <c r="T4" s="40">
        <f t="shared" si="1"/>
        <v>9</v>
      </c>
      <c r="U4" s="40">
        <f t="shared" si="1"/>
        <v>24</v>
      </c>
      <c r="V4" s="66">
        <f t="shared" si="1"/>
        <v>31</v>
      </c>
      <c r="W4" s="46">
        <f t="shared" si="2"/>
        <v>6</v>
      </c>
      <c r="X4" s="46">
        <f t="shared" si="3"/>
        <v>17</v>
      </c>
      <c r="Y4" s="46">
        <f t="shared" si="3"/>
        <v>28</v>
      </c>
      <c r="Z4" s="46">
        <f t="shared" si="3"/>
        <v>31</v>
      </c>
      <c r="AA4" s="46">
        <f t="shared" si="3"/>
        <v>6</v>
      </c>
      <c r="AB4" s="46">
        <f t="shared" si="3"/>
        <v>19</v>
      </c>
      <c r="AC4" s="46">
        <f t="shared" si="3"/>
        <v>24</v>
      </c>
      <c r="AD4" s="46">
        <f t="shared" si="3"/>
        <v>29</v>
      </c>
      <c r="AE4" s="46">
        <f t="shared" si="3"/>
        <v>6</v>
      </c>
      <c r="AF4" s="46">
        <f t="shared" si="3"/>
        <v>15</v>
      </c>
      <c r="AG4" s="46">
        <f t="shared" si="3"/>
        <v>24</v>
      </c>
      <c r="AH4" s="46">
        <f t="shared" si="3"/>
        <v>1</v>
      </c>
      <c r="AI4" s="46">
        <f t="shared" si="3"/>
        <v>6</v>
      </c>
      <c r="AJ4" s="46">
        <f t="shared" si="3"/>
        <v>13</v>
      </c>
      <c r="AK4" s="46">
        <f t="shared" si="3"/>
        <v>28</v>
      </c>
      <c r="AL4" s="46">
        <f t="shared" si="3"/>
        <v>3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1"/>
        <v>11</v>
      </c>
      <c r="I5" s="40">
        <f t="shared" si="1"/>
        <v>19</v>
      </c>
      <c r="J5" s="66">
        <f t="shared" si="1"/>
        <v>27</v>
      </c>
      <c r="K5" s="43">
        <f t="shared" si="1"/>
        <v>3</v>
      </c>
      <c r="L5" s="40">
        <f t="shared" si="1"/>
        <v>9</v>
      </c>
      <c r="M5" s="40">
        <f t="shared" si="1"/>
        <v>23</v>
      </c>
      <c r="N5" s="66">
        <f t="shared" si="1"/>
        <v>29</v>
      </c>
      <c r="O5" s="43">
        <f t="shared" si="1"/>
        <v>3</v>
      </c>
      <c r="P5" s="40">
        <f t="shared" si="1"/>
        <v>15</v>
      </c>
      <c r="Q5" s="40">
        <f t="shared" si="1"/>
        <v>19</v>
      </c>
      <c r="R5" s="66">
        <f t="shared" si="1"/>
        <v>31</v>
      </c>
      <c r="S5" s="43">
        <f t="shared" si="1"/>
        <v>3</v>
      </c>
      <c r="T5" s="40">
        <f t="shared" si="1"/>
        <v>10</v>
      </c>
      <c r="U5" s="40">
        <f t="shared" si="1"/>
        <v>17</v>
      </c>
      <c r="V5" s="66">
        <f t="shared" si="1"/>
        <v>32</v>
      </c>
      <c r="W5" s="46">
        <f t="shared" si="2"/>
        <v>7</v>
      </c>
      <c r="X5" s="46">
        <f t="shared" si="3"/>
        <v>18</v>
      </c>
      <c r="Y5" s="46">
        <f t="shared" si="3"/>
        <v>21</v>
      </c>
      <c r="Z5" s="46">
        <f t="shared" si="3"/>
        <v>32</v>
      </c>
      <c r="AA5" s="46">
        <f t="shared" si="3"/>
        <v>7</v>
      </c>
      <c r="AB5" s="46">
        <f t="shared" si="3"/>
        <v>20</v>
      </c>
      <c r="AC5" s="46">
        <f t="shared" si="3"/>
        <v>25</v>
      </c>
      <c r="AD5" s="46">
        <f t="shared" si="3"/>
        <v>30</v>
      </c>
      <c r="AE5" s="46">
        <f t="shared" si="3"/>
        <v>7</v>
      </c>
      <c r="AF5" s="46">
        <f t="shared" si="3"/>
        <v>16</v>
      </c>
      <c r="AG5" s="46">
        <f t="shared" si="3"/>
        <v>25</v>
      </c>
      <c r="AH5" s="46">
        <f t="shared" si="3"/>
        <v>2</v>
      </c>
      <c r="AI5" s="46">
        <f t="shared" si="3"/>
        <v>7</v>
      </c>
      <c r="AJ5" s="46">
        <f t="shared" si="3"/>
        <v>14</v>
      </c>
      <c r="AK5" s="46">
        <f t="shared" si="3"/>
        <v>21</v>
      </c>
      <c r="AL5" s="46">
        <f t="shared" si="3"/>
        <v>4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1"/>
        <v>12</v>
      </c>
      <c r="I6" s="40">
        <f t="shared" si="1"/>
        <v>20</v>
      </c>
      <c r="J6" s="66">
        <f t="shared" si="1"/>
        <v>28</v>
      </c>
      <c r="K6" s="43">
        <f t="shared" si="1"/>
        <v>4</v>
      </c>
      <c r="L6" s="40">
        <f t="shared" si="1"/>
        <v>10</v>
      </c>
      <c r="M6" s="40">
        <f t="shared" si="1"/>
        <v>24</v>
      </c>
      <c r="N6" s="66">
        <f t="shared" si="1"/>
        <v>30</v>
      </c>
      <c r="O6" s="43">
        <f t="shared" si="1"/>
        <v>4</v>
      </c>
      <c r="P6" s="40">
        <f t="shared" si="1"/>
        <v>16</v>
      </c>
      <c r="Q6" s="40">
        <f t="shared" si="1"/>
        <v>20</v>
      </c>
      <c r="R6" s="66">
        <f t="shared" si="1"/>
        <v>32</v>
      </c>
      <c r="S6" s="43">
        <f t="shared" si="1"/>
        <v>4</v>
      </c>
      <c r="T6" s="40">
        <f t="shared" si="1"/>
        <v>11</v>
      </c>
      <c r="U6" s="40">
        <f t="shared" si="1"/>
        <v>18</v>
      </c>
      <c r="V6" s="66">
        <f t="shared" si="1"/>
        <v>25</v>
      </c>
      <c r="W6" s="46">
        <f t="shared" si="2"/>
        <v>8</v>
      </c>
      <c r="X6" s="46">
        <f t="shared" si="3"/>
        <v>19</v>
      </c>
      <c r="Y6" s="46">
        <f t="shared" si="3"/>
        <v>22</v>
      </c>
      <c r="Z6" s="46">
        <f t="shared" si="3"/>
        <v>1</v>
      </c>
      <c r="AA6" s="46">
        <f t="shared" si="3"/>
        <v>8</v>
      </c>
      <c r="AB6" s="46">
        <f t="shared" si="3"/>
        <v>13</v>
      </c>
      <c r="AC6" s="46">
        <f t="shared" si="3"/>
        <v>26</v>
      </c>
      <c r="AD6" s="46">
        <f t="shared" si="3"/>
        <v>31</v>
      </c>
      <c r="AE6" s="46">
        <f t="shared" si="3"/>
        <v>8</v>
      </c>
      <c r="AF6" s="46">
        <f t="shared" si="3"/>
        <v>17</v>
      </c>
      <c r="AG6" s="46">
        <f t="shared" si="3"/>
        <v>26</v>
      </c>
      <c r="AH6" s="46">
        <f t="shared" si="3"/>
        <v>3</v>
      </c>
      <c r="AI6" s="46">
        <f t="shared" si="3"/>
        <v>8</v>
      </c>
      <c r="AJ6" s="46">
        <f t="shared" si="3"/>
        <v>15</v>
      </c>
      <c r="AK6" s="46">
        <f t="shared" si="3"/>
        <v>22</v>
      </c>
      <c r="AL6" s="46">
        <f t="shared" si="3"/>
        <v>29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1"/>
        <v>13</v>
      </c>
      <c r="I7" s="40">
        <f t="shared" si="1"/>
        <v>21</v>
      </c>
      <c r="J7" s="66">
        <f t="shared" si="1"/>
        <v>29</v>
      </c>
      <c r="K7" s="43">
        <f t="shared" si="1"/>
        <v>5</v>
      </c>
      <c r="L7" s="40">
        <f t="shared" si="1"/>
        <v>11</v>
      </c>
      <c r="M7" s="40">
        <f t="shared" si="1"/>
        <v>17</v>
      </c>
      <c r="N7" s="66">
        <f t="shared" si="1"/>
        <v>31</v>
      </c>
      <c r="O7" s="43">
        <f t="shared" si="1"/>
        <v>5</v>
      </c>
      <c r="P7" s="40">
        <f t="shared" si="1"/>
        <v>9</v>
      </c>
      <c r="Q7" s="40">
        <f t="shared" si="1"/>
        <v>21</v>
      </c>
      <c r="R7" s="66">
        <f t="shared" si="1"/>
        <v>25</v>
      </c>
      <c r="S7" s="43">
        <f t="shared" si="1"/>
        <v>5</v>
      </c>
      <c r="T7" s="40">
        <f t="shared" si="1"/>
        <v>12</v>
      </c>
      <c r="U7" s="40">
        <f t="shared" si="1"/>
        <v>19</v>
      </c>
      <c r="V7" s="66">
        <f t="shared" si="1"/>
        <v>26</v>
      </c>
      <c r="W7" s="46">
        <f t="shared" si="2"/>
        <v>9</v>
      </c>
      <c r="X7" s="46">
        <f t="shared" si="3"/>
        <v>20</v>
      </c>
      <c r="Y7" s="46">
        <f t="shared" si="3"/>
        <v>23</v>
      </c>
      <c r="Z7" s="46">
        <f t="shared" si="3"/>
        <v>2</v>
      </c>
      <c r="AA7" s="46">
        <f t="shared" si="3"/>
        <v>9</v>
      </c>
      <c r="AB7" s="46">
        <f t="shared" si="3"/>
        <v>14</v>
      </c>
      <c r="AC7" s="46">
        <f t="shared" si="3"/>
        <v>27</v>
      </c>
      <c r="AD7" s="46">
        <f t="shared" si="3"/>
        <v>32</v>
      </c>
      <c r="AE7" s="46">
        <f t="shared" si="3"/>
        <v>9</v>
      </c>
      <c r="AF7" s="46">
        <f t="shared" si="3"/>
        <v>18</v>
      </c>
      <c r="AG7" s="46">
        <f t="shared" si="3"/>
        <v>27</v>
      </c>
      <c r="AH7" s="46">
        <f t="shared" si="3"/>
        <v>4</v>
      </c>
      <c r="AI7" s="46">
        <f t="shared" si="3"/>
        <v>9</v>
      </c>
      <c r="AJ7" s="46">
        <f t="shared" si="3"/>
        <v>16</v>
      </c>
      <c r="AK7" s="46">
        <f t="shared" si="3"/>
        <v>23</v>
      </c>
      <c r="AL7" s="46">
        <f t="shared" si="3"/>
        <v>30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1"/>
        <v>14</v>
      </c>
      <c r="I8" s="40">
        <f t="shared" si="1"/>
        <v>22</v>
      </c>
      <c r="J8" s="66">
        <f t="shared" si="1"/>
        <v>30</v>
      </c>
      <c r="K8" s="43">
        <f t="shared" si="1"/>
        <v>6</v>
      </c>
      <c r="L8" s="40">
        <f t="shared" si="1"/>
        <v>12</v>
      </c>
      <c r="M8" s="40">
        <f t="shared" si="1"/>
        <v>18</v>
      </c>
      <c r="N8" s="66">
        <f t="shared" si="1"/>
        <v>32</v>
      </c>
      <c r="O8" s="43">
        <f t="shared" si="1"/>
        <v>6</v>
      </c>
      <c r="P8" s="40">
        <f t="shared" si="1"/>
        <v>10</v>
      </c>
      <c r="Q8" s="40">
        <f t="shared" si="1"/>
        <v>22</v>
      </c>
      <c r="R8" s="66">
        <f t="shared" si="1"/>
        <v>26</v>
      </c>
      <c r="S8" s="43">
        <f t="shared" si="1"/>
        <v>6</v>
      </c>
      <c r="T8" s="40">
        <f t="shared" si="1"/>
        <v>13</v>
      </c>
      <c r="U8" s="40">
        <f t="shared" si="1"/>
        <v>20</v>
      </c>
      <c r="V8" s="66">
        <f t="shared" si="1"/>
        <v>27</v>
      </c>
      <c r="W8" s="46">
        <f t="shared" si="2"/>
        <v>10</v>
      </c>
      <c r="X8" s="46">
        <f t="shared" si="3"/>
        <v>13</v>
      </c>
      <c r="Y8" s="46">
        <f t="shared" si="3"/>
        <v>24</v>
      </c>
      <c r="Z8" s="46">
        <f t="shared" si="3"/>
        <v>3</v>
      </c>
      <c r="AA8" s="46">
        <f t="shared" si="3"/>
        <v>10</v>
      </c>
      <c r="AB8" s="46">
        <f t="shared" si="3"/>
        <v>15</v>
      </c>
      <c r="AC8" s="46">
        <f t="shared" si="3"/>
        <v>28</v>
      </c>
      <c r="AD8" s="46">
        <f t="shared" si="3"/>
        <v>1</v>
      </c>
      <c r="AE8" s="46">
        <f t="shared" si="3"/>
        <v>10</v>
      </c>
      <c r="AF8" s="46">
        <f t="shared" si="3"/>
        <v>19</v>
      </c>
      <c r="AG8" s="46">
        <f t="shared" si="3"/>
        <v>28</v>
      </c>
      <c r="AH8" s="46">
        <f t="shared" si="3"/>
        <v>29</v>
      </c>
      <c r="AI8" s="46">
        <f t="shared" si="3"/>
        <v>10</v>
      </c>
      <c r="AJ8" s="46">
        <f t="shared" si="3"/>
        <v>17</v>
      </c>
      <c r="AK8" s="46">
        <f t="shared" si="3"/>
        <v>24</v>
      </c>
      <c r="AL8" s="46">
        <f t="shared" si="3"/>
        <v>31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1"/>
        <v>15</v>
      </c>
      <c r="I9" s="40">
        <f t="shared" si="1"/>
        <v>23</v>
      </c>
      <c r="J9" s="66">
        <f t="shared" si="1"/>
        <v>31</v>
      </c>
      <c r="K9" s="43">
        <f t="shared" si="1"/>
        <v>7</v>
      </c>
      <c r="L9" s="40">
        <f t="shared" si="1"/>
        <v>13</v>
      </c>
      <c r="M9" s="40">
        <f t="shared" si="1"/>
        <v>19</v>
      </c>
      <c r="N9" s="66">
        <f t="shared" si="1"/>
        <v>25</v>
      </c>
      <c r="O9" s="43">
        <f t="shared" si="1"/>
        <v>7</v>
      </c>
      <c r="P9" s="40">
        <f t="shared" si="1"/>
        <v>11</v>
      </c>
      <c r="Q9" s="40">
        <f t="shared" si="1"/>
        <v>23</v>
      </c>
      <c r="R9" s="66">
        <f t="shared" si="1"/>
        <v>27</v>
      </c>
      <c r="S9" s="43">
        <f t="shared" si="1"/>
        <v>7</v>
      </c>
      <c r="T9" s="40">
        <f t="shared" si="1"/>
        <v>14</v>
      </c>
      <c r="U9" s="40">
        <f t="shared" si="1"/>
        <v>21</v>
      </c>
      <c r="V9" s="66">
        <f t="shared" si="1"/>
        <v>28</v>
      </c>
      <c r="W9" s="46">
        <f t="shared" si="2"/>
        <v>11</v>
      </c>
      <c r="X9" s="46">
        <f t="shared" si="3"/>
        <v>14</v>
      </c>
      <c r="Y9" s="46">
        <f t="shared" si="3"/>
        <v>25</v>
      </c>
      <c r="Z9" s="46">
        <f t="shared" si="3"/>
        <v>4</v>
      </c>
      <c r="AA9" s="46">
        <f t="shared" si="3"/>
        <v>11</v>
      </c>
      <c r="AB9" s="46">
        <f t="shared" si="3"/>
        <v>16</v>
      </c>
      <c r="AC9" s="46">
        <f t="shared" si="3"/>
        <v>21</v>
      </c>
      <c r="AD9" s="46">
        <f t="shared" si="3"/>
        <v>2</v>
      </c>
      <c r="AE9" s="46">
        <f t="shared" si="3"/>
        <v>11</v>
      </c>
      <c r="AF9" s="46">
        <f t="shared" si="3"/>
        <v>20</v>
      </c>
      <c r="AG9" s="46">
        <f t="shared" si="3"/>
        <v>21</v>
      </c>
      <c r="AH9" s="46">
        <f t="shared" si="3"/>
        <v>30</v>
      </c>
      <c r="AI9" s="46">
        <f t="shared" si="3"/>
        <v>11</v>
      </c>
      <c r="AJ9" s="46">
        <f t="shared" si="3"/>
        <v>18</v>
      </c>
      <c r="AK9" s="46">
        <f t="shared" si="3"/>
        <v>25</v>
      </c>
      <c r="AL9" s="46">
        <f t="shared" si="3"/>
        <v>32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>
        <f t="shared" si="0"/>
        <v>8</v>
      </c>
      <c r="H10" s="40">
        <f t="shared" si="1"/>
        <v>16</v>
      </c>
      <c r="I10" s="40">
        <f t="shared" si="1"/>
        <v>24</v>
      </c>
      <c r="J10" s="66">
        <f t="shared" si="1"/>
        <v>32</v>
      </c>
      <c r="K10" s="43">
        <f t="shared" si="1"/>
        <v>8</v>
      </c>
      <c r="L10" s="40">
        <f t="shared" si="1"/>
        <v>14</v>
      </c>
      <c r="M10" s="40">
        <f t="shared" si="1"/>
        <v>20</v>
      </c>
      <c r="N10" s="66">
        <f t="shared" si="1"/>
        <v>26</v>
      </c>
      <c r="O10" s="43">
        <f t="shared" si="1"/>
        <v>8</v>
      </c>
      <c r="P10" s="40">
        <f t="shared" si="1"/>
        <v>12</v>
      </c>
      <c r="Q10" s="40">
        <f t="shared" si="1"/>
        <v>24</v>
      </c>
      <c r="R10" s="66">
        <f t="shared" si="1"/>
        <v>28</v>
      </c>
      <c r="S10" s="43">
        <f t="shared" si="1"/>
        <v>8</v>
      </c>
      <c r="T10" s="40">
        <f t="shared" si="1"/>
        <v>15</v>
      </c>
      <c r="U10" s="40">
        <f t="shared" si="1"/>
        <v>22</v>
      </c>
      <c r="V10" s="66">
        <f t="shared" si="1"/>
        <v>29</v>
      </c>
      <c r="W10" s="46">
        <f t="shared" si="2"/>
        <v>12</v>
      </c>
      <c r="X10" s="46">
        <f t="shared" si="3"/>
        <v>15</v>
      </c>
      <c r="Y10" s="46">
        <f t="shared" si="3"/>
        <v>26</v>
      </c>
      <c r="Z10" s="46">
        <f t="shared" si="3"/>
        <v>29</v>
      </c>
      <c r="AA10" s="46">
        <f t="shared" si="3"/>
        <v>12</v>
      </c>
      <c r="AB10" s="46">
        <f t="shared" si="3"/>
        <v>17</v>
      </c>
      <c r="AC10" s="46">
        <f t="shared" si="3"/>
        <v>22</v>
      </c>
      <c r="AD10" s="46">
        <f t="shared" si="3"/>
        <v>3</v>
      </c>
      <c r="AE10" s="46">
        <f t="shared" si="3"/>
        <v>12</v>
      </c>
      <c r="AF10" s="46">
        <f t="shared" si="3"/>
        <v>13</v>
      </c>
      <c r="AG10" s="46">
        <f t="shared" si="3"/>
        <v>22</v>
      </c>
      <c r="AH10" s="46">
        <f t="shared" si="3"/>
        <v>31</v>
      </c>
      <c r="AI10" s="46">
        <f t="shared" si="3"/>
        <v>12</v>
      </c>
      <c r="AJ10" s="46">
        <f t="shared" si="3"/>
        <v>19</v>
      </c>
      <c r="AK10" s="46">
        <f t="shared" si="3"/>
        <v>26</v>
      </c>
      <c r="AL10" s="46">
        <f t="shared" si="3"/>
        <v>1</v>
      </c>
    </row>
    <row r="11" spans="1:38" x14ac:dyDescent="0.35">
      <c r="A11" s="18">
        <v>8</v>
      </c>
      <c r="B11" s="19" t="s">
        <v>18</v>
      </c>
      <c r="G11" s="43"/>
      <c r="H11" s="40"/>
      <c r="I11" s="40"/>
      <c r="J11" s="66"/>
      <c r="K11" s="43"/>
      <c r="L11" s="40"/>
      <c r="M11" s="40"/>
      <c r="N11" s="66"/>
      <c r="O11" s="43"/>
      <c r="P11" s="40"/>
      <c r="Q11" s="40"/>
      <c r="R11" s="66"/>
      <c r="S11" s="43"/>
      <c r="T11" s="40"/>
      <c r="U11" s="40"/>
      <c r="V11" s="6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x14ac:dyDescent="0.35">
      <c r="A12" s="18">
        <v>9</v>
      </c>
      <c r="B12" s="19" t="s">
        <v>18</v>
      </c>
      <c r="G12" s="43"/>
      <c r="H12" s="40"/>
      <c r="I12" s="40"/>
      <c r="J12" s="66"/>
      <c r="K12" s="43"/>
      <c r="L12" s="40"/>
      <c r="M12" s="40"/>
      <c r="N12" s="66"/>
      <c r="O12" s="43"/>
      <c r="P12" s="40"/>
      <c r="Q12" s="40"/>
      <c r="R12" s="66"/>
      <c r="S12" s="43"/>
      <c r="T12" s="40"/>
      <c r="U12" s="40"/>
      <c r="V12" s="6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x14ac:dyDescent="0.35">
      <c r="A13" s="18">
        <v>10</v>
      </c>
      <c r="B13" s="19" t="s">
        <v>18</v>
      </c>
      <c r="G13" s="43"/>
      <c r="H13" s="40"/>
      <c r="I13" s="40"/>
      <c r="J13" s="66"/>
      <c r="K13" s="43"/>
      <c r="L13" s="40"/>
      <c r="M13" s="40"/>
      <c r="N13" s="66"/>
      <c r="O13" s="43"/>
      <c r="P13" s="40"/>
      <c r="Q13" s="40"/>
      <c r="R13" s="66"/>
      <c r="S13" s="43"/>
      <c r="T13" s="40"/>
      <c r="U13" s="40"/>
      <c r="V13" s="6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35">
      <c r="A14" s="18">
        <v>11</v>
      </c>
      <c r="B14" s="19" t="s">
        <v>18</v>
      </c>
      <c r="D14">
        <f>$B$2/$C$2-$E$2/2+1</f>
        <v>7</v>
      </c>
      <c r="E14">
        <f>$B$2/$C$2+$E$2/2</f>
        <v>10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15</v>
      </c>
      <c r="E15">
        <f>2*$B$2/$C$2+$E$2/2</f>
        <v>18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23</v>
      </c>
      <c r="E16">
        <f>3*$B$2/$C$2+$E$2/2</f>
        <v>26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30</v>
      </c>
      <c r="E17">
        <f>$B$2</f>
        <v>32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11</v>
      </c>
      <c r="E19">
        <f>ROUND($B$2/$C$2+$E$2/2+$B$2/8,0)</f>
        <v>14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19</v>
      </c>
      <c r="E20">
        <f>ROUND(2*$B$2/$C$2+$E$2/2+$B$2/8,0)</f>
        <v>22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27</v>
      </c>
      <c r="E21">
        <f>ROUND(3*$B$2/$C$2+$E$2/2+$B$2/8,0)</f>
        <v>30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30</v>
      </c>
      <c r="E22">
        <f>$B$2</f>
        <v>32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3</v>
      </c>
      <c r="E23">
        <f>ROUND($B$2/$C$2+$E$2/2-$B$2/8,0)</f>
        <v>6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4">SUM(F28:F40)</f>
        <v>45</v>
      </c>
      <c r="G41">
        <f t="shared" si="4"/>
        <v>79</v>
      </c>
      <c r="H41">
        <f t="shared" si="4"/>
        <v>70</v>
      </c>
      <c r="I41">
        <f t="shared" si="4"/>
        <v>59</v>
      </c>
      <c r="J41">
        <f t="shared" si="4"/>
        <v>51</v>
      </c>
      <c r="K41">
        <f t="shared" si="4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28" priority="6" operator="between">
      <formula>$D$17</formula>
      <formula>$E$17</formula>
    </cfRule>
    <cfRule type="cellIs" dxfId="127" priority="7" operator="between">
      <formula>$D$16</formula>
      <formula>$E$16</formula>
    </cfRule>
    <cfRule type="cellIs" dxfId="126" priority="8" operator="between">
      <formula>$D$15</formula>
      <formula>$E$15</formula>
    </cfRule>
    <cfRule type="cellIs" dxfId="125" priority="9" operator="between">
      <formula>$D$14</formula>
      <formula>$E$14</formula>
    </cfRule>
  </conditionalFormatting>
  <conditionalFormatting sqref="W3:AL22">
    <cfRule type="cellIs" dxfId="124" priority="1" operator="between">
      <formula>$D$23</formula>
      <formula>$E$23</formula>
    </cfRule>
    <cfRule type="cellIs" dxfId="123" priority="2" operator="between">
      <formula>$D$22</formula>
      <formula>$E$22</formula>
    </cfRule>
    <cfRule type="cellIs" dxfId="122" priority="3" operator="between">
      <formula>$D$21</formula>
      <formula>$E$21</formula>
    </cfRule>
    <cfRule type="cellIs" dxfId="121" priority="4" operator="between">
      <formula>$D$20</formula>
      <formula>$E$20</formula>
    </cfRule>
    <cfRule type="cellIs" dxfId="120" priority="5" operator="between">
      <formula>$D$19</formula>
      <formula>$E$19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P21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8</v>
      </c>
      <c r="C4" s="58">
        <v>15</v>
      </c>
      <c r="D4" s="59">
        <v>22</v>
      </c>
      <c r="E4" s="57">
        <v>1</v>
      </c>
      <c r="F4" s="58">
        <v>13</v>
      </c>
      <c r="G4" s="86">
        <v>18</v>
      </c>
      <c r="H4" s="59">
        <v>23</v>
      </c>
      <c r="I4" s="57">
        <v>1</v>
      </c>
      <c r="J4" s="58">
        <v>11</v>
      </c>
      <c r="K4" s="58">
        <v>21</v>
      </c>
      <c r="L4" s="90">
        <v>24</v>
      </c>
      <c r="M4" s="57">
        <v>1</v>
      </c>
      <c r="N4" s="86">
        <v>9</v>
      </c>
      <c r="O4" s="58">
        <v>17</v>
      </c>
      <c r="P4" s="59">
        <v>25</v>
      </c>
    </row>
    <row r="5" spans="1:16" x14ac:dyDescent="0.35">
      <c r="A5" s="82">
        <v>2</v>
      </c>
      <c r="B5" s="55">
        <v>9</v>
      </c>
      <c r="C5" s="55">
        <v>16</v>
      </c>
      <c r="D5" s="56">
        <v>23</v>
      </c>
      <c r="E5" s="75">
        <v>2</v>
      </c>
      <c r="F5" s="76">
        <v>14</v>
      </c>
      <c r="G5" s="87">
        <v>19</v>
      </c>
      <c r="H5" s="77">
        <v>24</v>
      </c>
      <c r="I5" s="49">
        <v>2</v>
      </c>
      <c r="J5" s="50">
        <v>12</v>
      </c>
      <c r="K5" s="50">
        <v>15</v>
      </c>
      <c r="L5" s="91">
        <v>25</v>
      </c>
      <c r="M5" s="75">
        <v>2</v>
      </c>
      <c r="N5" s="87">
        <v>10</v>
      </c>
      <c r="O5" s="76">
        <v>18</v>
      </c>
      <c r="P5" s="77">
        <v>26</v>
      </c>
    </row>
    <row r="6" spans="1:16" x14ac:dyDescent="0.35">
      <c r="A6" s="83">
        <v>3</v>
      </c>
      <c r="B6" s="61">
        <v>10</v>
      </c>
      <c r="C6" s="61">
        <v>17</v>
      </c>
      <c r="D6" s="62">
        <v>24</v>
      </c>
      <c r="E6" s="60">
        <v>3</v>
      </c>
      <c r="F6" s="61">
        <v>8</v>
      </c>
      <c r="G6" s="88">
        <v>20</v>
      </c>
      <c r="H6" s="62">
        <v>25</v>
      </c>
      <c r="I6" s="60">
        <v>3</v>
      </c>
      <c r="J6" s="61">
        <v>13</v>
      </c>
      <c r="K6" s="61">
        <v>16</v>
      </c>
      <c r="L6" s="92">
        <v>26</v>
      </c>
      <c r="M6" s="60">
        <v>3</v>
      </c>
      <c r="N6" s="88">
        <v>11</v>
      </c>
      <c r="O6" s="61">
        <v>19</v>
      </c>
      <c r="P6" s="62">
        <v>27</v>
      </c>
    </row>
    <row r="7" spans="1:16" x14ac:dyDescent="0.35">
      <c r="A7" s="82">
        <v>4</v>
      </c>
      <c r="B7" s="55">
        <v>11</v>
      </c>
      <c r="C7" s="55">
        <v>18</v>
      </c>
      <c r="D7" s="56">
        <v>25</v>
      </c>
      <c r="E7" s="75">
        <v>4</v>
      </c>
      <c r="F7" s="76">
        <v>9</v>
      </c>
      <c r="G7" s="87">
        <v>21</v>
      </c>
      <c r="H7" s="77">
        <v>26</v>
      </c>
      <c r="I7" s="49">
        <v>4</v>
      </c>
      <c r="J7" s="50">
        <v>14</v>
      </c>
      <c r="K7" s="50">
        <v>17</v>
      </c>
      <c r="L7" s="91">
        <v>27</v>
      </c>
      <c r="M7" s="75">
        <v>4</v>
      </c>
      <c r="N7" s="87">
        <v>12</v>
      </c>
      <c r="O7" s="76">
        <v>20</v>
      </c>
      <c r="P7" s="77">
        <v>28</v>
      </c>
    </row>
    <row r="8" spans="1:16" x14ac:dyDescent="0.35">
      <c r="A8" s="83">
        <v>5</v>
      </c>
      <c r="B8" s="61">
        <v>12</v>
      </c>
      <c r="C8" s="61">
        <v>19</v>
      </c>
      <c r="D8" s="62">
        <v>26</v>
      </c>
      <c r="E8" s="60">
        <v>5</v>
      </c>
      <c r="F8" s="61">
        <v>10</v>
      </c>
      <c r="G8" s="88">
        <v>15</v>
      </c>
      <c r="H8" s="62">
        <v>27</v>
      </c>
      <c r="I8" s="60">
        <v>5</v>
      </c>
      <c r="J8" s="61">
        <v>8</v>
      </c>
      <c r="K8" s="61">
        <v>18</v>
      </c>
      <c r="L8" s="92">
        <v>28</v>
      </c>
      <c r="M8" s="60">
        <v>5</v>
      </c>
      <c r="N8" s="88">
        <v>13</v>
      </c>
      <c r="O8" s="61">
        <v>21</v>
      </c>
      <c r="P8" s="62">
        <v>22</v>
      </c>
    </row>
    <row r="9" spans="1:16" x14ac:dyDescent="0.35">
      <c r="A9" s="82">
        <v>6</v>
      </c>
      <c r="B9" s="55">
        <v>13</v>
      </c>
      <c r="C9" s="55">
        <v>20</v>
      </c>
      <c r="D9" s="56">
        <v>27</v>
      </c>
      <c r="E9" s="75">
        <v>6</v>
      </c>
      <c r="F9" s="76">
        <v>11</v>
      </c>
      <c r="G9" s="87">
        <v>16</v>
      </c>
      <c r="H9" s="77">
        <v>28</v>
      </c>
      <c r="I9" s="49">
        <v>6</v>
      </c>
      <c r="J9" s="50">
        <v>9</v>
      </c>
      <c r="K9" s="50">
        <v>19</v>
      </c>
      <c r="L9" s="91">
        <v>22</v>
      </c>
      <c r="M9" s="75">
        <v>6</v>
      </c>
      <c r="N9" s="87">
        <v>14</v>
      </c>
      <c r="O9" s="76">
        <v>15</v>
      </c>
      <c r="P9" s="77">
        <v>23</v>
      </c>
    </row>
    <row r="10" spans="1:16" x14ac:dyDescent="0.35">
      <c r="A10" s="83">
        <v>7</v>
      </c>
      <c r="B10" s="61">
        <v>14</v>
      </c>
      <c r="C10" s="61">
        <v>21</v>
      </c>
      <c r="D10" s="62">
        <v>28</v>
      </c>
      <c r="E10" s="60">
        <v>7</v>
      </c>
      <c r="F10" s="61">
        <v>12</v>
      </c>
      <c r="G10" s="88">
        <v>17</v>
      </c>
      <c r="H10" s="62">
        <v>22</v>
      </c>
      <c r="I10" s="60">
        <v>7</v>
      </c>
      <c r="J10" s="61">
        <v>10</v>
      </c>
      <c r="K10" s="61">
        <v>20</v>
      </c>
      <c r="L10" s="92">
        <v>23</v>
      </c>
      <c r="M10" s="60">
        <v>7</v>
      </c>
      <c r="N10" s="88">
        <v>8</v>
      </c>
      <c r="O10" s="61">
        <v>16</v>
      </c>
      <c r="P10" s="62">
        <v>24</v>
      </c>
    </row>
    <row r="11" spans="1:16" ht="15" thickBot="1" x14ac:dyDescent="0.4"/>
    <row r="12" spans="1:16" x14ac:dyDescent="0.35">
      <c r="A12" s="108" t="s">
        <v>34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10"/>
    </row>
    <row r="13" spans="1:16" ht="5.25" customHeight="1" thickBot="1" x14ac:dyDescent="0.4">
      <c r="A13" s="111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3"/>
    </row>
    <row r="14" spans="1:16" ht="15" thickBot="1" x14ac:dyDescent="0.4">
      <c r="A14" s="102" t="s">
        <v>30</v>
      </c>
      <c r="B14" s="103"/>
      <c r="C14" s="103"/>
      <c r="D14" s="104"/>
      <c r="E14" s="105" t="s">
        <v>31</v>
      </c>
      <c r="F14" s="106"/>
      <c r="G14" s="106"/>
      <c r="H14" s="107"/>
      <c r="I14" s="102" t="s">
        <v>32</v>
      </c>
      <c r="J14" s="103"/>
      <c r="K14" s="103"/>
      <c r="L14" s="104"/>
      <c r="M14" s="105" t="s">
        <v>33</v>
      </c>
      <c r="N14" s="106"/>
      <c r="O14" s="106"/>
      <c r="P14" s="107"/>
    </row>
    <row r="15" spans="1:16" x14ac:dyDescent="0.35">
      <c r="A15" s="57">
        <v>1</v>
      </c>
      <c r="B15" s="86">
        <v>14</v>
      </c>
      <c r="C15" s="58">
        <v>20</v>
      </c>
      <c r="D15" s="59">
        <v>26</v>
      </c>
      <c r="E15" s="57">
        <v>1</v>
      </c>
      <c r="F15" s="58">
        <v>12</v>
      </c>
      <c r="G15" s="58">
        <v>16</v>
      </c>
      <c r="H15" s="90">
        <v>27</v>
      </c>
      <c r="I15" s="57">
        <v>1</v>
      </c>
      <c r="J15" s="58">
        <v>10</v>
      </c>
      <c r="K15" s="86">
        <v>19</v>
      </c>
      <c r="L15" s="59">
        <v>28</v>
      </c>
      <c r="M15" s="81">
        <v>1</v>
      </c>
      <c r="N15" s="58">
        <v>8</v>
      </c>
      <c r="O15" s="58">
        <v>15</v>
      </c>
      <c r="P15" s="59">
        <v>22</v>
      </c>
    </row>
    <row r="16" spans="1:16" x14ac:dyDescent="0.35">
      <c r="A16" s="94">
        <v>2</v>
      </c>
      <c r="B16" s="95">
        <v>8</v>
      </c>
      <c r="C16" s="55">
        <v>21</v>
      </c>
      <c r="D16" s="56">
        <v>27</v>
      </c>
      <c r="E16" s="75">
        <v>2</v>
      </c>
      <c r="F16" s="76">
        <v>13</v>
      </c>
      <c r="G16" s="76">
        <v>17</v>
      </c>
      <c r="H16" s="98">
        <v>28</v>
      </c>
      <c r="I16" s="49">
        <v>2</v>
      </c>
      <c r="J16" s="50">
        <v>11</v>
      </c>
      <c r="K16" s="96">
        <v>20</v>
      </c>
      <c r="L16" s="51">
        <v>22</v>
      </c>
      <c r="M16" s="100">
        <v>2</v>
      </c>
      <c r="N16" s="76">
        <v>9</v>
      </c>
      <c r="O16" s="76">
        <v>16</v>
      </c>
      <c r="P16" s="77">
        <v>23</v>
      </c>
    </row>
    <row r="17" spans="1:16" x14ac:dyDescent="0.35">
      <c r="A17" s="60">
        <v>3</v>
      </c>
      <c r="B17" s="88">
        <v>9</v>
      </c>
      <c r="C17" s="61">
        <v>15</v>
      </c>
      <c r="D17" s="62">
        <v>28</v>
      </c>
      <c r="E17" s="60">
        <v>3</v>
      </c>
      <c r="F17" s="61">
        <v>14</v>
      </c>
      <c r="G17" s="61">
        <v>18</v>
      </c>
      <c r="H17" s="92">
        <v>22</v>
      </c>
      <c r="I17" s="60">
        <v>3</v>
      </c>
      <c r="J17" s="61">
        <v>12</v>
      </c>
      <c r="K17" s="88">
        <v>21</v>
      </c>
      <c r="L17" s="62">
        <v>23</v>
      </c>
      <c r="M17" s="83">
        <v>3</v>
      </c>
      <c r="N17" s="61">
        <v>10</v>
      </c>
      <c r="O17" s="61">
        <v>17</v>
      </c>
      <c r="P17" s="62">
        <v>24</v>
      </c>
    </row>
    <row r="18" spans="1:16" x14ac:dyDescent="0.35">
      <c r="A18" s="94">
        <v>4</v>
      </c>
      <c r="B18" s="95">
        <v>10</v>
      </c>
      <c r="C18" s="55">
        <v>16</v>
      </c>
      <c r="D18" s="56">
        <v>22</v>
      </c>
      <c r="E18" s="75">
        <v>4</v>
      </c>
      <c r="F18" s="76">
        <v>8</v>
      </c>
      <c r="G18" s="76">
        <v>19</v>
      </c>
      <c r="H18" s="98">
        <v>23</v>
      </c>
      <c r="I18" s="49">
        <v>4</v>
      </c>
      <c r="J18" s="50">
        <v>13</v>
      </c>
      <c r="K18" s="96">
        <v>15</v>
      </c>
      <c r="L18" s="51">
        <v>24</v>
      </c>
      <c r="M18" s="100">
        <v>4</v>
      </c>
      <c r="N18" s="76">
        <v>11</v>
      </c>
      <c r="O18" s="76">
        <v>18</v>
      </c>
      <c r="P18" s="77">
        <v>25</v>
      </c>
    </row>
    <row r="19" spans="1:16" x14ac:dyDescent="0.35">
      <c r="A19" s="60">
        <v>5</v>
      </c>
      <c r="B19" s="88">
        <v>11</v>
      </c>
      <c r="C19" s="61">
        <v>17</v>
      </c>
      <c r="D19" s="62">
        <v>23</v>
      </c>
      <c r="E19" s="60">
        <v>5</v>
      </c>
      <c r="F19" s="61">
        <v>9</v>
      </c>
      <c r="G19" s="61">
        <v>20</v>
      </c>
      <c r="H19" s="92">
        <v>24</v>
      </c>
      <c r="I19" s="60">
        <v>5</v>
      </c>
      <c r="J19" s="61">
        <v>14</v>
      </c>
      <c r="K19" s="88">
        <v>16</v>
      </c>
      <c r="L19" s="62">
        <v>25</v>
      </c>
      <c r="M19" s="83">
        <v>5</v>
      </c>
      <c r="N19" s="61">
        <v>12</v>
      </c>
      <c r="O19" s="61">
        <v>19</v>
      </c>
      <c r="P19" s="62">
        <v>26</v>
      </c>
    </row>
    <row r="20" spans="1:16" x14ac:dyDescent="0.35">
      <c r="A20" s="94">
        <v>6</v>
      </c>
      <c r="B20" s="95">
        <v>12</v>
      </c>
      <c r="C20" s="55">
        <v>18</v>
      </c>
      <c r="D20" s="56">
        <v>24</v>
      </c>
      <c r="E20" s="75">
        <v>6</v>
      </c>
      <c r="F20" s="76">
        <v>10</v>
      </c>
      <c r="G20" s="76">
        <v>21</v>
      </c>
      <c r="H20" s="98">
        <v>25</v>
      </c>
      <c r="I20" s="49">
        <v>6</v>
      </c>
      <c r="J20" s="50">
        <v>8</v>
      </c>
      <c r="K20" s="96">
        <v>17</v>
      </c>
      <c r="L20" s="51">
        <v>26</v>
      </c>
      <c r="M20" s="100">
        <v>6</v>
      </c>
      <c r="N20" s="76">
        <v>13</v>
      </c>
      <c r="O20" s="76">
        <v>20</v>
      </c>
      <c r="P20" s="77">
        <v>27</v>
      </c>
    </row>
    <row r="21" spans="1:16" x14ac:dyDescent="0.35">
      <c r="A21" s="60">
        <v>7</v>
      </c>
      <c r="B21" s="88">
        <v>13</v>
      </c>
      <c r="C21" s="61">
        <v>19</v>
      </c>
      <c r="D21" s="62">
        <v>25</v>
      </c>
      <c r="E21" s="60">
        <v>7</v>
      </c>
      <c r="F21" s="61">
        <v>11</v>
      </c>
      <c r="G21" s="61">
        <v>15</v>
      </c>
      <c r="H21" s="92">
        <v>26</v>
      </c>
      <c r="I21" s="60">
        <v>7</v>
      </c>
      <c r="J21" s="61">
        <v>9</v>
      </c>
      <c r="K21" s="88">
        <v>18</v>
      </c>
      <c r="L21" s="62">
        <v>27</v>
      </c>
      <c r="M21" s="83">
        <v>7</v>
      </c>
      <c r="N21" s="61">
        <v>14</v>
      </c>
      <c r="O21" s="61">
        <v>21</v>
      </c>
      <c r="P21" s="62">
        <v>28</v>
      </c>
    </row>
  </sheetData>
  <mergeCells count="10">
    <mergeCell ref="A14:D14"/>
    <mergeCell ref="E14:H14"/>
    <mergeCell ref="I14:L14"/>
    <mergeCell ref="M14:P14"/>
    <mergeCell ref="A1:P2"/>
    <mergeCell ref="A3:D3"/>
    <mergeCell ref="E3:H3"/>
    <mergeCell ref="I3:L3"/>
    <mergeCell ref="M3:P3"/>
    <mergeCell ref="A12:P13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L82"/>
  <sheetViews>
    <sheetView topLeftCell="N1" workbookViewId="0">
      <selection activeCell="AM1" sqref="AM1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1</v>
      </c>
      <c r="D1">
        <f>FLOOR(3*$B$2/32,1)</f>
        <v>2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5</v>
      </c>
      <c r="AH1" s="10">
        <v>5</v>
      </c>
      <c r="AI1">
        <v>9</v>
      </c>
      <c r="AJ1">
        <v>9</v>
      </c>
      <c r="AK1">
        <v>9</v>
      </c>
      <c r="AL1">
        <v>9</v>
      </c>
    </row>
    <row r="2" spans="1:38" ht="15" thickBot="1" x14ac:dyDescent="0.4">
      <c r="A2">
        <f>CEILING(COUNTA(B3:B83)/4,1)*4</f>
        <v>80</v>
      </c>
      <c r="B2">
        <v>28</v>
      </c>
      <c r="C2">
        <v>4</v>
      </c>
      <c r="D2">
        <v>8</v>
      </c>
      <c r="E2">
        <v>4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ht="15" thickBot="1" x14ac:dyDescent="0.4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V9" si="0">MOD($A3-G$1*G$2,$B$2/4)+G$2*$B$2/4+1</f>
        <v>1</v>
      </c>
      <c r="H3" s="64">
        <f t="shared" si="0"/>
        <v>8</v>
      </c>
      <c r="I3" s="64">
        <f t="shared" si="0"/>
        <v>15</v>
      </c>
      <c r="J3" s="65">
        <f t="shared" si="0"/>
        <v>22</v>
      </c>
      <c r="K3" s="63">
        <f t="shared" si="0"/>
        <v>1</v>
      </c>
      <c r="L3" s="64">
        <f t="shared" si="0"/>
        <v>13</v>
      </c>
      <c r="M3" s="64">
        <f t="shared" si="0"/>
        <v>18</v>
      </c>
      <c r="N3" s="65">
        <f t="shared" si="0"/>
        <v>23</v>
      </c>
      <c r="O3" s="63">
        <f t="shared" si="0"/>
        <v>1</v>
      </c>
      <c r="P3" s="64">
        <f t="shared" si="0"/>
        <v>11</v>
      </c>
      <c r="Q3" s="64">
        <f t="shared" si="0"/>
        <v>21</v>
      </c>
      <c r="R3" s="65">
        <f t="shared" si="0"/>
        <v>24</v>
      </c>
      <c r="S3" s="63">
        <f t="shared" si="0"/>
        <v>1</v>
      </c>
      <c r="T3" s="64">
        <f t="shared" si="0"/>
        <v>9</v>
      </c>
      <c r="U3" s="64">
        <f t="shared" si="0"/>
        <v>17</v>
      </c>
      <c r="V3" s="65">
        <f t="shared" si="0"/>
        <v>25</v>
      </c>
      <c r="W3" s="63">
        <f t="shared" ref="W3:AL9" si="1">MOD($A3-W$1*W$2,$B$2/4)+W$2*$B$2/4+1</f>
        <v>1</v>
      </c>
      <c r="X3" s="64">
        <f t="shared" si="1"/>
        <v>14</v>
      </c>
      <c r="Y3" s="64">
        <f t="shared" si="1"/>
        <v>20</v>
      </c>
      <c r="Z3" s="65">
        <f t="shared" si="1"/>
        <v>26</v>
      </c>
      <c r="AA3" s="63">
        <f t="shared" si="1"/>
        <v>1</v>
      </c>
      <c r="AB3" s="64">
        <f t="shared" si="1"/>
        <v>12</v>
      </c>
      <c r="AC3" s="64">
        <f t="shared" si="1"/>
        <v>16</v>
      </c>
      <c r="AD3" s="65">
        <f t="shared" si="1"/>
        <v>27</v>
      </c>
      <c r="AE3" s="63">
        <f t="shared" si="1"/>
        <v>1</v>
      </c>
      <c r="AF3" s="64">
        <f t="shared" si="1"/>
        <v>10</v>
      </c>
      <c r="AG3" s="64">
        <f t="shared" si="1"/>
        <v>19</v>
      </c>
      <c r="AH3" s="65">
        <f t="shared" si="1"/>
        <v>28</v>
      </c>
      <c r="AI3" s="63">
        <f t="shared" si="1"/>
        <v>1</v>
      </c>
      <c r="AJ3" s="64">
        <f t="shared" si="1"/>
        <v>13</v>
      </c>
      <c r="AK3" s="64">
        <f t="shared" si="1"/>
        <v>18</v>
      </c>
      <c r="AL3" s="65">
        <f t="shared" si="1"/>
        <v>23</v>
      </c>
    </row>
    <row r="4" spans="1:38" ht="15" thickBot="1" x14ac:dyDescent="0.4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0"/>
        <v>9</v>
      </c>
      <c r="I4" s="40">
        <f t="shared" si="0"/>
        <v>16</v>
      </c>
      <c r="J4" s="66">
        <f t="shared" si="0"/>
        <v>23</v>
      </c>
      <c r="K4" s="43">
        <f t="shared" si="0"/>
        <v>2</v>
      </c>
      <c r="L4" s="40">
        <f t="shared" si="0"/>
        <v>14</v>
      </c>
      <c r="M4" s="40">
        <f t="shared" si="0"/>
        <v>19</v>
      </c>
      <c r="N4" s="66">
        <f t="shared" si="0"/>
        <v>24</v>
      </c>
      <c r="O4" s="43">
        <f t="shared" si="0"/>
        <v>2</v>
      </c>
      <c r="P4" s="40">
        <f t="shared" si="0"/>
        <v>12</v>
      </c>
      <c r="Q4" s="40">
        <f t="shared" si="0"/>
        <v>15</v>
      </c>
      <c r="R4" s="66">
        <f t="shared" si="0"/>
        <v>25</v>
      </c>
      <c r="S4" s="43">
        <f t="shared" si="0"/>
        <v>2</v>
      </c>
      <c r="T4" s="40">
        <f t="shared" si="0"/>
        <v>10</v>
      </c>
      <c r="U4" s="40">
        <f t="shared" si="0"/>
        <v>18</v>
      </c>
      <c r="V4" s="66">
        <f t="shared" si="0"/>
        <v>26</v>
      </c>
      <c r="W4" s="63">
        <f t="shared" si="1"/>
        <v>2</v>
      </c>
      <c r="X4" s="64">
        <f t="shared" si="1"/>
        <v>8</v>
      </c>
      <c r="Y4" s="64">
        <f t="shared" si="1"/>
        <v>21</v>
      </c>
      <c r="Z4" s="65">
        <f t="shared" si="1"/>
        <v>27</v>
      </c>
      <c r="AA4" s="63">
        <f t="shared" si="1"/>
        <v>2</v>
      </c>
      <c r="AB4" s="64">
        <f t="shared" si="1"/>
        <v>13</v>
      </c>
      <c r="AC4" s="64">
        <f t="shared" si="1"/>
        <v>17</v>
      </c>
      <c r="AD4" s="65">
        <f t="shared" si="1"/>
        <v>28</v>
      </c>
      <c r="AE4" s="63">
        <f t="shared" si="1"/>
        <v>2</v>
      </c>
      <c r="AF4" s="64">
        <f t="shared" si="1"/>
        <v>11</v>
      </c>
      <c r="AG4" s="64">
        <f t="shared" si="1"/>
        <v>20</v>
      </c>
      <c r="AH4" s="65">
        <f t="shared" si="1"/>
        <v>22</v>
      </c>
      <c r="AI4" s="63">
        <f t="shared" si="1"/>
        <v>2</v>
      </c>
      <c r="AJ4" s="64">
        <f t="shared" si="1"/>
        <v>14</v>
      </c>
      <c r="AK4" s="64">
        <f t="shared" si="1"/>
        <v>19</v>
      </c>
      <c r="AL4" s="65">
        <f t="shared" si="1"/>
        <v>24</v>
      </c>
    </row>
    <row r="5" spans="1:38" ht="15" thickBot="1" x14ac:dyDescent="0.4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0"/>
        <v>10</v>
      </c>
      <c r="I5" s="40">
        <f t="shared" si="0"/>
        <v>17</v>
      </c>
      <c r="J5" s="66">
        <f t="shared" si="0"/>
        <v>24</v>
      </c>
      <c r="K5" s="43">
        <f t="shared" si="0"/>
        <v>3</v>
      </c>
      <c r="L5" s="40">
        <f t="shared" si="0"/>
        <v>8</v>
      </c>
      <c r="M5" s="40">
        <f t="shared" si="0"/>
        <v>20</v>
      </c>
      <c r="N5" s="66">
        <f t="shared" si="0"/>
        <v>25</v>
      </c>
      <c r="O5" s="43">
        <f t="shared" si="0"/>
        <v>3</v>
      </c>
      <c r="P5" s="40">
        <f t="shared" si="0"/>
        <v>13</v>
      </c>
      <c r="Q5" s="40">
        <f t="shared" si="0"/>
        <v>16</v>
      </c>
      <c r="R5" s="66">
        <f t="shared" si="0"/>
        <v>26</v>
      </c>
      <c r="S5" s="43">
        <f t="shared" si="0"/>
        <v>3</v>
      </c>
      <c r="T5" s="40">
        <f t="shared" si="0"/>
        <v>11</v>
      </c>
      <c r="U5" s="40">
        <f t="shared" si="0"/>
        <v>19</v>
      </c>
      <c r="V5" s="66">
        <f t="shared" si="0"/>
        <v>27</v>
      </c>
      <c r="W5" s="63">
        <f t="shared" si="1"/>
        <v>3</v>
      </c>
      <c r="X5" s="64">
        <f t="shared" si="1"/>
        <v>9</v>
      </c>
      <c r="Y5" s="64">
        <f t="shared" si="1"/>
        <v>15</v>
      </c>
      <c r="Z5" s="65">
        <f t="shared" si="1"/>
        <v>28</v>
      </c>
      <c r="AA5" s="63">
        <f t="shared" si="1"/>
        <v>3</v>
      </c>
      <c r="AB5" s="64">
        <f t="shared" si="1"/>
        <v>14</v>
      </c>
      <c r="AC5" s="64">
        <f t="shared" si="1"/>
        <v>18</v>
      </c>
      <c r="AD5" s="65">
        <f t="shared" si="1"/>
        <v>22</v>
      </c>
      <c r="AE5" s="63">
        <f t="shared" si="1"/>
        <v>3</v>
      </c>
      <c r="AF5" s="64">
        <f t="shared" si="1"/>
        <v>12</v>
      </c>
      <c r="AG5" s="64">
        <f t="shared" si="1"/>
        <v>21</v>
      </c>
      <c r="AH5" s="65">
        <f t="shared" si="1"/>
        <v>23</v>
      </c>
      <c r="AI5" s="63">
        <f t="shared" si="1"/>
        <v>3</v>
      </c>
      <c r="AJ5" s="64">
        <f t="shared" si="1"/>
        <v>8</v>
      </c>
      <c r="AK5" s="64">
        <f t="shared" si="1"/>
        <v>20</v>
      </c>
      <c r="AL5" s="65">
        <f t="shared" si="1"/>
        <v>25</v>
      </c>
    </row>
    <row r="6" spans="1:38" ht="15" thickBot="1" x14ac:dyDescent="0.4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0"/>
        <v>11</v>
      </c>
      <c r="I6" s="40">
        <f t="shared" si="0"/>
        <v>18</v>
      </c>
      <c r="J6" s="66">
        <f t="shared" si="0"/>
        <v>25</v>
      </c>
      <c r="K6" s="43">
        <f t="shared" si="0"/>
        <v>4</v>
      </c>
      <c r="L6" s="40">
        <f t="shared" si="0"/>
        <v>9</v>
      </c>
      <c r="M6" s="40">
        <f t="shared" si="0"/>
        <v>21</v>
      </c>
      <c r="N6" s="66">
        <f t="shared" si="0"/>
        <v>26</v>
      </c>
      <c r="O6" s="43">
        <f t="shared" si="0"/>
        <v>4</v>
      </c>
      <c r="P6" s="40">
        <f t="shared" si="0"/>
        <v>14</v>
      </c>
      <c r="Q6" s="40">
        <f t="shared" si="0"/>
        <v>17</v>
      </c>
      <c r="R6" s="66">
        <f t="shared" si="0"/>
        <v>27</v>
      </c>
      <c r="S6" s="43">
        <f t="shared" si="0"/>
        <v>4</v>
      </c>
      <c r="T6" s="40">
        <f t="shared" si="0"/>
        <v>12</v>
      </c>
      <c r="U6" s="40">
        <f t="shared" si="0"/>
        <v>20</v>
      </c>
      <c r="V6" s="66">
        <f t="shared" si="0"/>
        <v>28</v>
      </c>
      <c r="W6" s="63">
        <f t="shared" si="1"/>
        <v>4</v>
      </c>
      <c r="X6" s="64">
        <f t="shared" si="1"/>
        <v>10</v>
      </c>
      <c r="Y6" s="64">
        <f t="shared" si="1"/>
        <v>16</v>
      </c>
      <c r="Z6" s="65">
        <f t="shared" si="1"/>
        <v>22</v>
      </c>
      <c r="AA6" s="63">
        <f t="shared" si="1"/>
        <v>4</v>
      </c>
      <c r="AB6" s="64">
        <f t="shared" si="1"/>
        <v>8</v>
      </c>
      <c r="AC6" s="64">
        <f t="shared" si="1"/>
        <v>19</v>
      </c>
      <c r="AD6" s="65">
        <f t="shared" si="1"/>
        <v>23</v>
      </c>
      <c r="AE6" s="63">
        <f t="shared" si="1"/>
        <v>4</v>
      </c>
      <c r="AF6" s="64">
        <f t="shared" si="1"/>
        <v>13</v>
      </c>
      <c r="AG6" s="64">
        <f t="shared" si="1"/>
        <v>15</v>
      </c>
      <c r="AH6" s="65">
        <f t="shared" si="1"/>
        <v>24</v>
      </c>
      <c r="AI6" s="63">
        <f t="shared" si="1"/>
        <v>4</v>
      </c>
      <c r="AJ6" s="64">
        <f t="shared" si="1"/>
        <v>9</v>
      </c>
      <c r="AK6" s="64">
        <f t="shared" si="1"/>
        <v>21</v>
      </c>
      <c r="AL6" s="65">
        <f t="shared" si="1"/>
        <v>26</v>
      </c>
    </row>
    <row r="7" spans="1:38" ht="15" thickBot="1" x14ac:dyDescent="0.4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0"/>
        <v>12</v>
      </c>
      <c r="I7" s="40">
        <f t="shared" si="0"/>
        <v>19</v>
      </c>
      <c r="J7" s="66">
        <f t="shared" si="0"/>
        <v>26</v>
      </c>
      <c r="K7" s="43">
        <f t="shared" si="0"/>
        <v>5</v>
      </c>
      <c r="L7" s="40">
        <f t="shared" si="0"/>
        <v>10</v>
      </c>
      <c r="M7" s="40">
        <f t="shared" si="0"/>
        <v>15</v>
      </c>
      <c r="N7" s="66">
        <f t="shared" si="0"/>
        <v>27</v>
      </c>
      <c r="O7" s="43">
        <f t="shared" si="0"/>
        <v>5</v>
      </c>
      <c r="P7" s="40">
        <f t="shared" si="0"/>
        <v>8</v>
      </c>
      <c r="Q7" s="40">
        <f t="shared" si="0"/>
        <v>18</v>
      </c>
      <c r="R7" s="66">
        <f t="shared" si="0"/>
        <v>28</v>
      </c>
      <c r="S7" s="43">
        <f t="shared" si="0"/>
        <v>5</v>
      </c>
      <c r="T7" s="40">
        <f t="shared" si="0"/>
        <v>13</v>
      </c>
      <c r="U7" s="40">
        <f t="shared" si="0"/>
        <v>21</v>
      </c>
      <c r="V7" s="66">
        <f t="shared" si="0"/>
        <v>22</v>
      </c>
      <c r="W7" s="63">
        <f t="shared" si="1"/>
        <v>5</v>
      </c>
      <c r="X7" s="64">
        <f t="shared" si="1"/>
        <v>11</v>
      </c>
      <c r="Y7" s="64">
        <f t="shared" si="1"/>
        <v>17</v>
      </c>
      <c r="Z7" s="65">
        <f t="shared" si="1"/>
        <v>23</v>
      </c>
      <c r="AA7" s="63">
        <f t="shared" si="1"/>
        <v>5</v>
      </c>
      <c r="AB7" s="64">
        <f t="shared" si="1"/>
        <v>9</v>
      </c>
      <c r="AC7" s="64">
        <f t="shared" si="1"/>
        <v>20</v>
      </c>
      <c r="AD7" s="65">
        <f t="shared" si="1"/>
        <v>24</v>
      </c>
      <c r="AE7" s="63">
        <f t="shared" si="1"/>
        <v>5</v>
      </c>
      <c r="AF7" s="64">
        <f t="shared" si="1"/>
        <v>14</v>
      </c>
      <c r="AG7" s="64">
        <f t="shared" si="1"/>
        <v>16</v>
      </c>
      <c r="AH7" s="65">
        <f t="shared" si="1"/>
        <v>25</v>
      </c>
      <c r="AI7" s="63">
        <f t="shared" si="1"/>
        <v>5</v>
      </c>
      <c r="AJ7" s="64">
        <f t="shared" si="1"/>
        <v>10</v>
      </c>
      <c r="AK7" s="64">
        <f t="shared" si="1"/>
        <v>15</v>
      </c>
      <c r="AL7" s="65">
        <f t="shared" si="1"/>
        <v>27</v>
      </c>
    </row>
    <row r="8" spans="1:38" ht="15" thickBot="1" x14ac:dyDescent="0.4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0"/>
        <v>13</v>
      </c>
      <c r="I8" s="40">
        <f t="shared" si="0"/>
        <v>20</v>
      </c>
      <c r="J8" s="66">
        <f t="shared" si="0"/>
        <v>27</v>
      </c>
      <c r="K8" s="43">
        <f t="shared" si="0"/>
        <v>6</v>
      </c>
      <c r="L8" s="40">
        <f t="shared" si="0"/>
        <v>11</v>
      </c>
      <c r="M8" s="40">
        <f t="shared" si="0"/>
        <v>16</v>
      </c>
      <c r="N8" s="66">
        <f t="shared" si="0"/>
        <v>28</v>
      </c>
      <c r="O8" s="43">
        <f t="shared" si="0"/>
        <v>6</v>
      </c>
      <c r="P8" s="40">
        <f t="shared" si="0"/>
        <v>9</v>
      </c>
      <c r="Q8" s="40">
        <f t="shared" si="0"/>
        <v>19</v>
      </c>
      <c r="R8" s="66">
        <f t="shared" si="0"/>
        <v>22</v>
      </c>
      <c r="S8" s="43">
        <f t="shared" si="0"/>
        <v>6</v>
      </c>
      <c r="T8" s="40">
        <f t="shared" si="0"/>
        <v>14</v>
      </c>
      <c r="U8" s="40">
        <f t="shared" si="0"/>
        <v>15</v>
      </c>
      <c r="V8" s="66">
        <f t="shared" si="0"/>
        <v>23</v>
      </c>
      <c r="W8" s="63">
        <f t="shared" si="1"/>
        <v>6</v>
      </c>
      <c r="X8" s="64">
        <f t="shared" si="1"/>
        <v>12</v>
      </c>
      <c r="Y8" s="64">
        <f t="shared" si="1"/>
        <v>18</v>
      </c>
      <c r="Z8" s="65">
        <f t="shared" si="1"/>
        <v>24</v>
      </c>
      <c r="AA8" s="63">
        <f t="shared" si="1"/>
        <v>6</v>
      </c>
      <c r="AB8" s="64">
        <f t="shared" si="1"/>
        <v>10</v>
      </c>
      <c r="AC8" s="64">
        <f t="shared" si="1"/>
        <v>21</v>
      </c>
      <c r="AD8" s="65">
        <f t="shared" si="1"/>
        <v>25</v>
      </c>
      <c r="AE8" s="63">
        <f t="shared" si="1"/>
        <v>6</v>
      </c>
      <c r="AF8" s="64">
        <f t="shared" si="1"/>
        <v>8</v>
      </c>
      <c r="AG8" s="64">
        <f t="shared" si="1"/>
        <v>17</v>
      </c>
      <c r="AH8" s="65">
        <f t="shared" si="1"/>
        <v>26</v>
      </c>
      <c r="AI8" s="63">
        <f t="shared" si="1"/>
        <v>6</v>
      </c>
      <c r="AJ8" s="64">
        <f t="shared" si="1"/>
        <v>11</v>
      </c>
      <c r="AK8" s="64">
        <f t="shared" si="1"/>
        <v>16</v>
      </c>
      <c r="AL8" s="65">
        <f t="shared" si="1"/>
        <v>28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>
        <f t="shared" si="0"/>
        <v>7</v>
      </c>
      <c r="H9" s="40">
        <f t="shared" si="0"/>
        <v>14</v>
      </c>
      <c r="I9" s="40">
        <f t="shared" si="0"/>
        <v>21</v>
      </c>
      <c r="J9" s="66">
        <f t="shared" si="0"/>
        <v>28</v>
      </c>
      <c r="K9" s="43">
        <f t="shared" si="0"/>
        <v>7</v>
      </c>
      <c r="L9" s="40">
        <f t="shared" si="0"/>
        <v>12</v>
      </c>
      <c r="M9" s="40">
        <f t="shared" si="0"/>
        <v>17</v>
      </c>
      <c r="N9" s="66">
        <f t="shared" si="0"/>
        <v>22</v>
      </c>
      <c r="O9" s="43">
        <f t="shared" si="0"/>
        <v>7</v>
      </c>
      <c r="P9" s="40">
        <f t="shared" si="0"/>
        <v>10</v>
      </c>
      <c r="Q9" s="40">
        <f t="shared" si="0"/>
        <v>20</v>
      </c>
      <c r="R9" s="66">
        <f t="shared" si="0"/>
        <v>23</v>
      </c>
      <c r="S9" s="43">
        <f t="shared" si="0"/>
        <v>7</v>
      </c>
      <c r="T9" s="40">
        <f t="shared" si="0"/>
        <v>8</v>
      </c>
      <c r="U9" s="40">
        <f t="shared" si="0"/>
        <v>16</v>
      </c>
      <c r="V9" s="66">
        <f t="shared" si="0"/>
        <v>24</v>
      </c>
      <c r="W9" s="63">
        <f t="shared" si="1"/>
        <v>7</v>
      </c>
      <c r="X9" s="64">
        <f t="shared" si="1"/>
        <v>13</v>
      </c>
      <c r="Y9" s="64">
        <f t="shared" si="1"/>
        <v>19</v>
      </c>
      <c r="Z9" s="65">
        <f t="shared" si="1"/>
        <v>25</v>
      </c>
      <c r="AA9" s="63">
        <f t="shared" si="1"/>
        <v>7</v>
      </c>
      <c r="AB9" s="64">
        <f t="shared" si="1"/>
        <v>11</v>
      </c>
      <c r="AC9" s="64">
        <f t="shared" si="1"/>
        <v>15</v>
      </c>
      <c r="AD9" s="65">
        <f t="shared" si="1"/>
        <v>26</v>
      </c>
      <c r="AE9" s="63">
        <f t="shared" si="1"/>
        <v>7</v>
      </c>
      <c r="AF9" s="64">
        <f t="shared" si="1"/>
        <v>9</v>
      </c>
      <c r="AG9" s="64">
        <f t="shared" si="1"/>
        <v>18</v>
      </c>
      <c r="AH9" s="65">
        <f t="shared" si="1"/>
        <v>27</v>
      </c>
      <c r="AI9" s="63">
        <f t="shared" si="1"/>
        <v>7</v>
      </c>
      <c r="AJ9" s="64">
        <f t="shared" si="1"/>
        <v>12</v>
      </c>
      <c r="AK9" s="64">
        <f t="shared" si="1"/>
        <v>17</v>
      </c>
      <c r="AL9" s="65">
        <f t="shared" si="1"/>
        <v>22</v>
      </c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/>
      <c r="H10" s="40"/>
      <c r="I10" s="40"/>
      <c r="J10" s="66"/>
      <c r="K10" s="43"/>
      <c r="L10" s="40"/>
      <c r="M10" s="40"/>
      <c r="N10" s="66"/>
      <c r="O10" s="43"/>
      <c r="P10" s="40"/>
      <c r="Q10" s="40"/>
      <c r="R10" s="66"/>
      <c r="S10" s="43"/>
      <c r="T10" s="40"/>
      <c r="U10" s="40"/>
      <c r="V10" s="6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x14ac:dyDescent="0.35">
      <c r="A11" s="18">
        <v>8</v>
      </c>
      <c r="B11" s="19" t="s">
        <v>18</v>
      </c>
      <c r="G11" s="43"/>
      <c r="H11" s="40"/>
      <c r="I11" s="40"/>
      <c r="J11" s="66"/>
      <c r="K11" s="43"/>
      <c r="L11" s="40"/>
      <c r="M11" s="40"/>
      <c r="N11" s="66"/>
      <c r="O11" s="43"/>
      <c r="P11" s="40"/>
      <c r="Q11" s="40"/>
      <c r="R11" s="66"/>
      <c r="S11" s="43"/>
      <c r="T11" s="40"/>
      <c r="U11" s="40"/>
      <c r="V11" s="6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x14ac:dyDescent="0.35">
      <c r="A12" s="18">
        <v>9</v>
      </c>
      <c r="B12" s="19" t="s">
        <v>18</v>
      </c>
      <c r="G12" s="43"/>
      <c r="H12" s="40"/>
      <c r="I12" s="40"/>
      <c r="J12" s="66"/>
      <c r="K12" s="43"/>
      <c r="L12" s="40"/>
      <c r="M12" s="40"/>
      <c r="N12" s="66"/>
      <c r="O12" s="43"/>
      <c r="P12" s="40"/>
      <c r="Q12" s="40"/>
      <c r="R12" s="66"/>
      <c r="S12" s="43"/>
      <c r="T12" s="40"/>
      <c r="U12" s="40"/>
      <c r="V12" s="6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x14ac:dyDescent="0.35">
      <c r="A13" s="18">
        <v>10</v>
      </c>
      <c r="B13" s="19" t="s">
        <v>18</v>
      </c>
      <c r="G13" s="43"/>
      <c r="H13" s="40"/>
      <c r="I13" s="40"/>
      <c r="J13" s="66"/>
      <c r="K13" s="43"/>
      <c r="L13" s="40"/>
      <c r="M13" s="40"/>
      <c r="N13" s="66"/>
      <c r="O13" s="43"/>
      <c r="P13" s="40"/>
      <c r="Q13" s="40"/>
      <c r="R13" s="66"/>
      <c r="S13" s="43"/>
      <c r="T13" s="40"/>
      <c r="U13" s="40"/>
      <c r="V13" s="6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35">
      <c r="A14" s="18">
        <v>11</v>
      </c>
      <c r="B14" s="19" t="s">
        <v>18</v>
      </c>
      <c r="D14">
        <f>$B$2/$C$2-$E$2/2+1</f>
        <v>6</v>
      </c>
      <c r="E14">
        <f>$B$2/$C$2+$E$2/2</f>
        <v>9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13</v>
      </c>
      <c r="E15">
        <f>2*$B$2/$C$2+$E$2/2</f>
        <v>16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20</v>
      </c>
      <c r="E16">
        <f>3*$B$2/$C$2+$E$2/2</f>
        <v>23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26</v>
      </c>
      <c r="E17">
        <f>$B$2</f>
        <v>28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9.5</v>
      </c>
      <c r="E19">
        <f>ROUND($B$2/$C$2+$E$2/2+$B$2/8,0)</f>
        <v>13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16.5</v>
      </c>
      <c r="E20">
        <f>ROUND(2*$B$2/$C$2+$E$2/2+$B$2/8,0)</f>
        <v>20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23.5</v>
      </c>
      <c r="E21">
        <f>ROUND(3*$B$2/$C$2+$E$2/2+$B$2/8,0)</f>
        <v>27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26</v>
      </c>
      <c r="E22">
        <f>$B$2</f>
        <v>28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2.5</v>
      </c>
      <c r="E23">
        <f>ROUND($B$2/$C$2+$E$2/2-$B$2/8,0)</f>
        <v>6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119" priority="22" operator="between">
      <formula>$D$17</formula>
      <formula>$E$17</formula>
    </cfRule>
    <cfRule type="cellIs" dxfId="118" priority="23" operator="between">
      <formula>$D$16</formula>
      <formula>$E$16</formula>
    </cfRule>
    <cfRule type="cellIs" dxfId="117" priority="24" operator="between">
      <formula>$D$15</formula>
      <formula>$E$15</formula>
    </cfRule>
    <cfRule type="cellIs" dxfId="116" priority="25" operator="between">
      <formula>$D$14</formula>
      <formula>$E$14</formula>
    </cfRule>
  </conditionalFormatting>
  <conditionalFormatting sqref="W10:AL22">
    <cfRule type="cellIs" dxfId="115" priority="17" operator="between">
      <formula>$D$23</formula>
      <formula>$E$23</formula>
    </cfRule>
    <cfRule type="cellIs" dxfId="114" priority="18" operator="between">
      <formula>$D$22</formula>
      <formula>$E$22</formula>
    </cfRule>
    <cfRule type="cellIs" dxfId="113" priority="19" operator="between">
      <formula>$D$21</formula>
      <formula>$E$21</formula>
    </cfRule>
    <cfRule type="cellIs" dxfId="112" priority="20" operator="between">
      <formula>$D$20</formula>
      <formula>$E$20</formula>
    </cfRule>
    <cfRule type="cellIs" dxfId="111" priority="21" operator="between">
      <formula>$D$19</formula>
      <formula>$E$19</formula>
    </cfRule>
  </conditionalFormatting>
  <conditionalFormatting sqref="W3:Z9">
    <cfRule type="cellIs" dxfId="110" priority="13" operator="between">
      <formula>$D$17</formula>
      <formula>$E$17</formula>
    </cfRule>
    <cfRule type="cellIs" dxfId="109" priority="14" operator="between">
      <formula>$D$16</formula>
      <formula>$E$16</formula>
    </cfRule>
    <cfRule type="cellIs" dxfId="108" priority="15" operator="between">
      <formula>$D$15</formula>
      <formula>$E$15</formula>
    </cfRule>
    <cfRule type="cellIs" dxfId="107" priority="16" operator="between">
      <formula>$D$14</formula>
      <formula>$E$14</formula>
    </cfRule>
  </conditionalFormatting>
  <conditionalFormatting sqref="AA3:AD9">
    <cfRule type="cellIs" dxfId="106" priority="9" operator="between">
      <formula>$D$17</formula>
      <formula>$E$17</formula>
    </cfRule>
    <cfRule type="cellIs" dxfId="105" priority="10" operator="between">
      <formula>$D$16</formula>
      <formula>$E$16</formula>
    </cfRule>
    <cfRule type="cellIs" dxfId="104" priority="11" operator="between">
      <formula>$D$15</formula>
      <formula>$E$15</formula>
    </cfRule>
    <cfRule type="cellIs" dxfId="103" priority="12" operator="between">
      <formula>$D$14</formula>
      <formula>$E$14</formula>
    </cfRule>
  </conditionalFormatting>
  <conditionalFormatting sqref="AE3:AH9">
    <cfRule type="cellIs" dxfId="102" priority="5" operator="between">
      <formula>$D$17</formula>
      <formula>$E$17</formula>
    </cfRule>
    <cfRule type="cellIs" dxfId="101" priority="6" operator="between">
      <formula>$D$16</formula>
      <formula>$E$16</formula>
    </cfRule>
    <cfRule type="cellIs" dxfId="100" priority="7" operator="between">
      <formula>$D$15</formula>
      <formula>$E$15</formula>
    </cfRule>
    <cfRule type="cellIs" dxfId="99" priority="8" operator="between">
      <formula>$D$14</formula>
      <formula>$E$14</formula>
    </cfRule>
  </conditionalFormatting>
  <conditionalFormatting sqref="AI3:AL9">
    <cfRule type="cellIs" dxfId="98" priority="1" operator="between">
      <formula>$D$17</formula>
      <formula>$E$17</formula>
    </cfRule>
    <cfRule type="cellIs" dxfId="97" priority="2" operator="between">
      <formula>$D$16</formula>
      <formula>$E$16</formula>
    </cfRule>
    <cfRule type="cellIs" dxfId="96" priority="3" operator="between">
      <formula>$D$15</formula>
      <formula>$E$15</formula>
    </cfRule>
    <cfRule type="cellIs" dxfId="95" priority="4" operator="between">
      <formula>$D$14</formula>
      <formula>$E$14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List13">
    <pageSetUpPr fitToPage="1"/>
  </sheetPr>
  <dimension ref="A1:P19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7</v>
      </c>
      <c r="C4" s="58">
        <v>13</v>
      </c>
      <c r="D4" s="59">
        <v>19</v>
      </c>
      <c r="E4" s="57">
        <v>1</v>
      </c>
      <c r="F4" s="58">
        <v>11</v>
      </c>
      <c r="G4" s="86">
        <v>15</v>
      </c>
      <c r="H4" s="59">
        <v>19</v>
      </c>
      <c r="I4" s="57">
        <v>1</v>
      </c>
      <c r="J4" s="58">
        <v>9</v>
      </c>
      <c r="K4" s="58">
        <v>17</v>
      </c>
      <c r="L4" s="90">
        <v>19</v>
      </c>
      <c r="M4" s="57">
        <v>1</v>
      </c>
      <c r="N4" s="86">
        <v>12</v>
      </c>
      <c r="O4" s="58">
        <v>17</v>
      </c>
      <c r="P4" s="59">
        <v>22</v>
      </c>
    </row>
    <row r="5" spans="1:16" x14ac:dyDescent="0.35">
      <c r="A5" s="82">
        <v>2</v>
      </c>
      <c r="B5" s="55">
        <v>8</v>
      </c>
      <c r="C5" s="55">
        <v>14</v>
      </c>
      <c r="D5" s="56">
        <v>20</v>
      </c>
      <c r="E5" s="75">
        <v>2</v>
      </c>
      <c r="F5" s="76">
        <v>12</v>
      </c>
      <c r="G5" s="87">
        <v>16</v>
      </c>
      <c r="H5" s="77">
        <v>20</v>
      </c>
      <c r="I5" s="49">
        <v>2</v>
      </c>
      <c r="J5" s="50">
        <v>10</v>
      </c>
      <c r="K5" s="50">
        <v>18</v>
      </c>
      <c r="L5" s="91">
        <v>20</v>
      </c>
      <c r="M5" s="75">
        <v>2</v>
      </c>
      <c r="N5" s="87">
        <v>7</v>
      </c>
      <c r="O5" s="76">
        <v>18</v>
      </c>
      <c r="P5" s="77">
        <v>23</v>
      </c>
    </row>
    <row r="6" spans="1:16" x14ac:dyDescent="0.35">
      <c r="A6" s="83">
        <v>3</v>
      </c>
      <c r="B6" s="61">
        <v>9</v>
      </c>
      <c r="C6" s="61">
        <v>15</v>
      </c>
      <c r="D6" s="62">
        <v>21</v>
      </c>
      <c r="E6" s="60">
        <v>3</v>
      </c>
      <c r="F6" s="61">
        <v>7</v>
      </c>
      <c r="G6" s="88">
        <v>17</v>
      </c>
      <c r="H6" s="62">
        <v>21</v>
      </c>
      <c r="I6" s="60">
        <v>3</v>
      </c>
      <c r="J6" s="61">
        <v>11</v>
      </c>
      <c r="K6" s="61">
        <v>13</v>
      </c>
      <c r="L6" s="92">
        <v>21</v>
      </c>
      <c r="M6" s="60">
        <v>3</v>
      </c>
      <c r="N6" s="88">
        <v>8</v>
      </c>
      <c r="O6" s="61">
        <v>13</v>
      </c>
      <c r="P6" s="62">
        <v>24</v>
      </c>
    </row>
    <row r="7" spans="1:16" x14ac:dyDescent="0.35">
      <c r="A7" s="82">
        <v>4</v>
      </c>
      <c r="B7" s="55">
        <v>10</v>
      </c>
      <c r="C7" s="55">
        <v>16</v>
      </c>
      <c r="D7" s="56">
        <v>22</v>
      </c>
      <c r="E7" s="75">
        <v>4</v>
      </c>
      <c r="F7" s="76">
        <v>8</v>
      </c>
      <c r="G7" s="87">
        <v>18</v>
      </c>
      <c r="H7" s="77">
        <v>22</v>
      </c>
      <c r="I7" s="49">
        <v>4</v>
      </c>
      <c r="J7" s="50">
        <v>12</v>
      </c>
      <c r="K7" s="50">
        <v>14</v>
      </c>
      <c r="L7" s="91">
        <v>22</v>
      </c>
      <c r="M7" s="75">
        <v>4</v>
      </c>
      <c r="N7" s="87">
        <v>9</v>
      </c>
      <c r="O7" s="76">
        <v>14</v>
      </c>
      <c r="P7" s="77">
        <v>19</v>
      </c>
    </row>
    <row r="8" spans="1:16" x14ac:dyDescent="0.35">
      <c r="A8" s="83">
        <v>5</v>
      </c>
      <c r="B8" s="61">
        <v>11</v>
      </c>
      <c r="C8" s="61">
        <v>17</v>
      </c>
      <c r="D8" s="62">
        <v>23</v>
      </c>
      <c r="E8" s="60">
        <v>5</v>
      </c>
      <c r="F8" s="61">
        <v>9</v>
      </c>
      <c r="G8" s="88">
        <v>13</v>
      </c>
      <c r="H8" s="62">
        <v>23</v>
      </c>
      <c r="I8" s="60">
        <v>5</v>
      </c>
      <c r="J8" s="61">
        <v>7</v>
      </c>
      <c r="K8" s="61">
        <v>15</v>
      </c>
      <c r="L8" s="92">
        <v>23</v>
      </c>
      <c r="M8" s="60">
        <v>5</v>
      </c>
      <c r="N8" s="88">
        <v>10</v>
      </c>
      <c r="O8" s="61">
        <v>15</v>
      </c>
      <c r="P8" s="62">
        <v>20</v>
      </c>
    </row>
    <row r="9" spans="1:16" x14ac:dyDescent="0.35">
      <c r="A9" s="82">
        <v>6</v>
      </c>
      <c r="B9" s="55">
        <v>12</v>
      </c>
      <c r="C9" s="55">
        <v>18</v>
      </c>
      <c r="D9" s="56">
        <v>24</v>
      </c>
      <c r="E9" s="75">
        <v>6</v>
      </c>
      <c r="F9" s="76">
        <v>10</v>
      </c>
      <c r="G9" s="87">
        <v>14</v>
      </c>
      <c r="H9" s="77">
        <v>24</v>
      </c>
      <c r="I9" s="49">
        <v>6</v>
      </c>
      <c r="J9" s="50">
        <v>8</v>
      </c>
      <c r="K9" s="50">
        <v>16</v>
      </c>
      <c r="L9" s="91">
        <v>24</v>
      </c>
      <c r="M9" s="75">
        <v>6</v>
      </c>
      <c r="N9" s="87">
        <v>11</v>
      </c>
      <c r="O9" s="76">
        <v>16</v>
      </c>
      <c r="P9" s="77">
        <v>21</v>
      </c>
    </row>
    <row r="10" spans="1:16" ht="15" thickBot="1" x14ac:dyDescent="0.4"/>
    <row r="11" spans="1:16" x14ac:dyDescent="0.35">
      <c r="A11" s="108" t="s">
        <v>34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10"/>
    </row>
    <row r="12" spans="1:16" ht="5.25" customHeight="1" thickBot="1" x14ac:dyDescent="0.4">
      <c r="A12" s="111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3"/>
    </row>
    <row r="13" spans="1:16" ht="15" thickBot="1" x14ac:dyDescent="0.4">
      <c r="A13" s="102" t="s">
        <v>30</v>
      </c>
      <c r="B13" s="103"/>
      <c r="C13" s="103"/>
      <c r="D13" s="104"/>
      <c r="E13" s="105" t="s">
        <v>31</v>
      </c>
      <c r="F13" s="106"/>
      <c r="G13" s="106"/>
      <c r="H13" s="107"/>
      <c r="I13" s="102" t="s">
        <v>32</v>
      </c>
      <c r="J13" s="103"/>
      <c r="K13" s="103"/>
      <c r="L13" s="104"/>
      <c r="M13" s="105" t="s">
        <v>33</v>
      </c>
      <c r="N13" s="106"/>
      <c r="O13" s="106"/>
      <c r="P13" s="107"/>
    </row>
    <row r="14" spans="1:16" x14ac:dyDescent="0.35">
      <c r="A14" s="57">
        <v>1</v>
      </c>
      <c r="B14" s="86">
        <v>12</v>
      </c>
      <c r="C14" s="58">
        <v>17</v>
      </c>
      <c r="D14" s="59">
        <v>22</v>
      </c>
      <c r="E14" s="57">
        <v>1</v>
      </c>
      <c r="F14" s="58">
        <v>10</v>
      </c>
      <c r="G14" s="58">
        <v>13</v>
      </c>
      <c r="H14" s="90">
        <v>22</v>
      </c>
      <c r="I14" s="57">
        <v>1</v>
      </c>
      <c r="J14" s="58">
        <v>8</v>
      </c>
      <c r="K14" s="86">
        <v>15</v>
      </c>
      <c r="L14" s="59">
        <v>22</v>
      </c>
      <c r="M14" s="81">
        <v>1</v>
      </c>
      <c r="N14" s="58">
        <v>7</v>
      </c>
      <c r="O14" s="58">
        <v>13</v>
      </c>
      <c r="P14" s="59">
        <v>19</v>
      </c>
    </row>
    <row r="15" spans="1:16" x14ac:dyDescent="0.35">
      <c r="A15" s="94">
        <v>2</v>
      </c>
      <c r="B15" s="95">
        <v>7</v>
      </c>
      <c r="C15" s="55">
        <v>18</v>
      </c>
      <c r="D15" s="56">
        <v>23</v>
      </c>
      <c r="E15" s="75">
        <v>2</v>
      </c>
      <c r="F15" s="76">
        <v>11</v>
      </c>
      <c r="G15" s="76">
        <v>14</v>
      </c>
      <c r="H15" s="98">
        <v>23</v>
      </c>
      <c r="I15" s="49">
        <v>2</v>
      </c>
      <c r="J15" s="50">
        <v>9</v>
      </c>
      <c r="K15" s="96">
        <v>16</v>
      </c>
      <c r="L15" s="51">
        <v>23</v>
      </c>
      <c r="M15" s="100">
        <v>2</v>
      </c>
      <c r="N15" s="76">
        <v>8</v>
      </c>
      <c r="O15" s="76">
        <v>14</v>
      </c>
      <c r="P15" s="77">
        <v>20</v>
      </c>
    </row>
    <row r="16" spans="1:16" x14ac:dyDescent="0.35">
      <c r="A16" s="60">
        <v>3</v>
      </c>
      <c r="B16" s="88">
        <v>8</v>
      </c>
      <c r="C16" s="61">
        <v>13</v>
      </c>
      <c r="D16" s="62">
        <v>24</v>
      </c>
      <c r="E16" s="60">
        <v>3</v>
      </c>
      <c r="F16" s="61">
        <v>12</v>
      </c>
      <c r="G16" s="61">
        <v>15</v>
      </c>
      <c r="H16" s="92">
        <v>24</v>
      </c>
      <c r="I16" s="60">
        <v>3</v>
      </c>
      <c r="J16" s="61">
        <v>10</v>
      </c>
      <c r="K16" s="88">
        <v>17</v>
      </c>
      <c r="L16" s="62">
        <v>24</v>
      </c>
      <c r="M16" s="83">
        <v>3</v>
      </c>
      <c r="N16" s="61">
        <v>9</v>
      </c>
      <c r="O16" s="61">
        <v>15</v>
      </c>
      <c r="P16" s="62">
        <v>21</v>
      </c>
    </row>
    <row r="17" spans="1:16" x14ac:dyDescent="0.35">
      <c r="A17" s="94">
        <v>4</v>
      </c>
      <c r="B17" s="95">
        <v>9</v>
      </c>
      <c r="C17" s="55">
        <v>14</v>
      </c>
      <c r="D17" s="56">
        <v>19</v>
      </c>
      <c r="E17" s="75">
        <v>4</v>
      </c>
      <c r="F17" s="76">
        <v>7</v>
      </c>
      <c r="G17" s="76">
        <v>16</v>
      </c>
      <c r="H17" s="98">
        <v>19</v>
      </c>
      <c r="I17" s="49">
        <v>4</v>
      </c>
      <c r="J17" s="50">
        <v>11</v>
      </c>
      <c r="K17" s="96">
        <v>18</v>
      </c>
      <c r="L17" s="51">
        <v>19</v>
      </c>
      <c r="M17" s="100">
        <v>4</v>
      </c>
      <c r="N17" s="76">
        <v>10</v>
      </c>
      <c r="O17" s="76">
        <v>16</v>
      </c>
      <c r="P17" s="77">
        <v>22</v>
      </c>
    </row>
    <row r="18" spans="1:16" x14ac:dyDescent="0.35">
      <c r="A18" s="60">
        <v>5</v>
      </c>
      <c r="B18" s="88">
        <v>10</v>
      </c>
      <c r="C18" s="61">
        <v>15</v>
      </c>
      <c r="D18" s="62">
        <v>20</v>
      </c>
      <c r="E18" s="60">
        <v>5</v>
      </c>
      <c r="F18" s="61">
        <v>8</v>
      </c>
      <c r="G18" s="61">
        <v>17</v>
      </c>
      <c r="H18" s="92">
        <v>20</v>
      </c>
      <c r="I18" s="60">
        <v>5</v>
      </c>
      <c r="J18" s="61">
        <v>12</v>
      </c>
      <c r="K18" s="88">
        <v>13</v>
      </c>
      <c r="L18" s="62">
        <v>20</v>
      </c>
      <c r="M18" s="83">
        <v>5</v>
      </c>
      <c r="N18" s="61">
        <v>11</v>
      </c>
      <c r="O18" s="61">
        <v>17</v>
      </c>
      <c r="P18" s="62">
        <v>23</v>
      </c>
    </row>
    <row r="19" spans="1:16" x14ac:dyDescent="0.35">
      <c r="A19" s="94">
        <v>6</v>
      </c>
      <c r="B19" s="95">
        <v>11</v>
      </c>
      <c r="C19" s="55">
        <v>16</v>
      </c>
      <c r="D19" s="56">
        <v>21</v>
      </c>
      <c r="E19" s="75">
        <v>6</v>
      </c>
      <c r="F19" s="76">
        <v>9</v>
      </c>
      <c r="G19" s="76">
        <v>18</v>
      </c>
      <c r="H19" s="98">
        <v>21</v>
      </c>
      <c r="I19" s="49">
        <v>6</v>
      </c>
      <c r="J19" s="50">
        <v>7</v>
      </c>
      <c r="K19" s="96">
        <v>14</v>
      </c>
      <c r="L19" s="51">
        <v>21</v>
      </c>
      <c r="M19" s="100">
        <v>6</v>
      </c>
      <c r="N19" s="76">
        <v>12</v>
      </c>
      <c r="O19" s="76">
        <v>18</v>
      </c>
      <c r="P19" s="77">
        <v>24</v>
      </c>
    </row>
  </sheetData>
  <mergeCells count="10">
    <mergeCell ref="A13:D13"/>
    <mergeCell ref="E13:H13"/>
    <mergeCell ref="I13:L13"/>
    <mergeCell ref="M13:P13"/>
    <mergeCell ref="A1:P2"/>
    <mergeCell ref="A3:D3"/>
    <mergeCell ref="E3:H3"/>
    <mergeCell ref="I3:L3"/>
    <mergeCell ref="M3:P3"/>
    <mergeCell ref="A11:P12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List14"/>
  <dimension ref="A1:AL82"/>
  <sheetViews>
    <sheetView topLeftCell="B1" workbookViewId="0">
      <selection activeCell="AG28" sqref="AG28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1</v>
      </c>
      <c r="D1">
        <f>FLOOR(3*$B$2/32,1)</f>
        <v>2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5</v>
      </c>
      <c r="AH1" s="10">
        <v>5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24</v>
      </c>
      <c r="C2">
        <v>4</v>
      </c>
      <c r="D2">
        <v>8</v>
      </c>
      <c r="E2">
        <v>4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ht="15" thickBot="1" x14ac:dyDescent="0.4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 t="shared" ref="G3:G8" si="0">MOD($A3-G$1*G$2,$B$2/4)+G$2*$B$2/4+1</f>
        <v>1</v>
      </c>
      <c r="H3" s="64">
        <f t="shared" ref="H3:W8" si="1">MOD($A3-H$1*H$2,$B$2/4)+H$2*$B$2/4+1</f>
        <v>7</v>
      </c>
      <c r="I3" s="64">
        <f t="shared" si="1"/>
        <v>13</v>
      </c>
      <c r="J3" s="65">
        <f t="shared" si="1"/>
        <v>19</v>
      </c>
      <c r="K3" s="63">
        <f t="shared" si="1"/>
        <v>1</v>
      </c>
      <c r="L3" s="64">
        <f t="shared" si="1"/>
        <v>11</v>
      </c>
      <c r="M3" s="64">
        <f t="shared" si="1"/>
        <v>15</v>
      </c>
      <c r="N3" s="65">
        <f t="shared" si="1"/>
        <v>19</v>
      </c>
      <c r="O3" s="63">
        <f t="shared" si="1"/>
        <v>1</v>
      </c>
      <c r="P3" s="64">
        <f t="shared" si="1"/>
        <v>9</v>
      </c>
      <c r="Q3" s="64">
        <f t="shared" si="1"/>
        <v>17</v>
      </c>
      <c r="R3" s="65">
        <f t="shared" si="1"/>
        <v>19</v>
      </c>
      <c r="S3" s="63">
        <f t="shared" si="1"/>
        <v>1</v>
      </c>
      <c r="T3" s="64">
        <f t="shared" si="1"/>
        <v>7</v>
      </c>
      <c r="U3" s="64">
        <f t="shared" si="1"/>
        <v>13</v>
      </c>
      <c r="V3" s="65">
        <f t="shared" si="1"/>
        <v>19</v>
      </c>
      <c r="W3" s="63">
        <f t="shared" si="1"/>
        <v>1</v>
      </c>
      <c r="X3" s="64">
        <f t="shared" ref="X3:AL8" si="2">MOD($A3-X$1*X$2,$B$2/4)+X$2*$B$2/4+1</f>
        <v>12</v>
      </c>
      <c r="Y3" s="64">
        <f t="shared" si="2"/>
        <v>17</v>
      </c>
      <c r="Z3" s="65">
        <f t="shared" si="2"/>
        <v>22</v>
      </c>
      <c r="AA3" s="63">
        <f t="shared" si="2"/>
        <v>1</v>
      </c>
      <c r="AB3" s="64">
        <f t="shared" si="2"/>
        <v>10</v>
      </c>
      <c r="AC3" s="64">
        <f t="shared" si="2"/>
        <v>13</v>
      </c>
      <c r="AD3" s="65">
        <f t="shared" si="2"/>
        <v>22</v>
      </c>
      <c r="AE3" s="63">
        <f t="shared" si="2"/>
        <v>1</v>
      </c>
      <c r="AF3" s="64">
        <f t="shared" si="2"/>
        <v>8</v>
      </c>
      <c r="AG3" s="64">
        <f t="shared" si="2"/>
        <v>15</v>
      </c>
      <c r="AH3" s="65">
        <f t="shared" si="2"/>
        <v>22</v>
      </c>
      <c r="AI3" s="63">
        <f t="shared" si="2"/>
        <v>1</v>
      </c>
      <c r="AJ3" s="64">
        <f t="shared" si="2"/>
        <v>12</v>
      </c>
      <c r="AK3" s="64">
        <f t="shared" si="2"/>
        <v>17</v>
      </c>
      <c r="AL3" s="65">
        <f t="shared" si="2"/>
        <v>22</v>
      </c>
    </row>
    <row r="4" spans="1:38" ht="15" thickBot="1" x14ac:dyDescent="0.4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 t="shared" si="0"/>
        <v>2</v>
      </c>
      <c r="H4" s="40">
        <f t="shared" si="1"/>
        <v>8</v>
      </c>
      <c r="I4" s="40">
        <f t="shared" si="1"/>
        <v>14</v>
      </c>
      <c r="J4" s="66">
        <f t="shared" si="1"/>
        <v>20</v>
      </c>
      <c r="K4" s="43">
        <f t="shared" si="1"/>
        <v>2</v>
      </c>
      <c r="L4" s="40">
        <f t="shared" si="1"/>
        <v>12</v>
      </c>
      <c r="M4" s="40">
        <f t="shared" si="1"/>
        <v>16</v>
      </c>
      <c r="N4" s="66">
        <f t="shared" si="1"/>
        <v>20</v>
      </c>
      <c r="O4" s="43">
        <f t="shared" si="1"/>
        <v>2</v>
      </c>
      <c r="P4" s="40">
        <f t="shared" si="1"/>
        <v>10</v>
      </c>
      <c r="Q4" s="40">
        <f t="shared" si="1"/>
        <v>18</v>
      </c>
      <c r="R4" s="66">
        <f t="shared" si="1"/>
        <v>20</v>
      </c>
      <c r="S4" s="43">
        <f t="shared" si="1"/>
        <v>2</v>
      </c>
      <c r="T4" s="40">
        <f t="shared" si="1"/>
        <v>8</v>
      </c>
      <c r="U4" s="40">
        <f t="shared" si="1"/>
        <v>14</v>
      </c>
      <c r="V4" s="66">
        <f t="shared" si="1"/>
        <v>20</v>
      </c>
      <c r="W4" s="63">
        <f t="shared" si="1"/>
        <v>2</v>
      </c>
      <c r="X4" s="64">
        <f t="shared" si="2"/>
        <v>7</v>
      </c>
      <c r="Y4" s="64">
        <f t="shared" si="2"/>
        <v>18</v>
      </c>
      <c r="Z4" s="65">
        <f t="shared" si="2"/>
        <v>23</v>
      </c>
      <c r="AA4" s="63">
        <f t="shared" si="2"/>
        <v>2</v>
      </c>
      <c r="AB4" s="64">
        <f t="shared" si="2"/>
        <v>11</v>
      </c>
      <c r="AC4" s="64">
        <f t="shared" si="2"/>
        <v>14</v>
      </c>
      <c r="AD4" s="65">
        <f t="shared" si="2"/>
        <v>23</v>
      </c>
      <c r="AE4" s="63">
        <f t="shared" si="2"/>
        <v>2</v>
      </c>
      <c r="AF4" s="64">
        <f t="shared" si="2"/>
        <v>9</v>
      </c>
      <c r="AG4" s="64">
        <f t="shared" si="2"/>
        <v>16</v>
      </c>
      <c r="AH4" s="65">
        <f t="shared" si="2"/>
        <v>23</v>
      </c>
      <c r="AI4" s="63">
        <f t="shared" si="2"/>
        <v>2</v>
      </c>
      <c r="AJ4" s="64">
        <f t="shared" si="2"/>
        <v>7</v>
      </c>
      <c r="AK4" s="64">
        <f t="shared" si="2"/>
        <v>18</v>
      </c>
      <c r="AL4" s="65">
        <f t="shared" si="2"/>
        <v>23</v>
      </c>
    </row>
    <row r="5" spans="1:38" ht="15" thickBot="1" x14ac:dyDescent="0.4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 t="shared" si="0"/>
        <v>3</v>
      </c>
      <c r="H5" s="40">
        <f t="shared" si="1"/>
        <v>9</v>
      </c>
      <c r="I5" s="40">
        <f t="shared" si="1"/>
        <v>15</v>
      </c>
      <c r="J5" s="66">
        <f t="shared" si="1"/>
        <v>21</v>
      </c>
      <c r="K5" s="43">
        <f t="shared" si="1"/>
        <v>3</v>
      </c>
      <c r="L5" s="40">
        <f t="shared" si="1"/>
        <v>7</v>
      </c>
      <c r="M5" s="40">
        <f t="shared" si="1"/>
        <v>17</v>
      </c>
      <c r="N5" s="66">
        <f t="shared" si="1"/>
        <v>21</v>
      </c>
      <c r="O5" s="43">
        <f t="shared" si="1"/>
        <v>3</v>
      </c>
      <c r="P5" s="40">
        <f t="shared" si="1"/>
        <v>11</v>
      </c>
      <c r="Q5" s="40">
        <f t="shared" si="1"/>
        <v>13</v>
      </c>
      <c r="R5" s="66">
        <f t="shared" si="1"/>
        <v>21</v>
      </c>
      <c r="S5" s="43">
        <f t="shared" si="1"/>
        <v>3</v>
      </c>
      <c r="T5" s="40">
        <f t="shared" si="1"/>
        <v>9</v>
      </c>
      <c r="U5" s="40">
        <f t="shared" si="1"/>
        <v>15</v>
      </c>
      <c r="V5" s="66">
        <f t="shared" si="1"/>
        <v>21</v>
      </c>
      <c r="W5" s="63">
        <f t="shared" si="1"/>
        <v>3</v>
      </c>
      <c r="X5" s="64">
        <f t="shared" si="2"/>
        <v>8</v>
      </c>
      <c r="Y5" s="64">
        <f t="shared" si="2"/>
        <v>13</v>
      </c>
      <c r="Z5" s="65">
        <f t="shared" si="2"/>
        <v>24</v>
      </c>
      <c r="AA5" s="63">
        <f t="shared" si="2"/>
        <v>3</v>
      </c>
      <c r="AB5" s="64">
        <f t="shared" si="2"/>
        <v>12</v>
      </c>
      <c r="AC5" s="64">
        <f t="shared" si="2"/>
        <v>15</v>
      </c>
      <c r="AD5" s="65">
        <f t="shared" si="2"/>
        <v>24</v>
      </c>
      <c r="AE5" s="63">
        <f t="shared" si="2"/>
        <v>3</v>
      </c>
      <c r="AF5" s="64">
        <f t="shared" si="2"/>
        <v>10</v>
      </c>
      <c r="AG5" s="64">
        <f t="shared" si="2"/>
        <v>17</v>
      </c>
      <c r="AH5" s="65">
        <f t="shared" si="2"/>
        <v>24</v>
      </c>
      <c r="AI5" s="63">
        <f t="shared" si="2"/>
        <v>3</v>
      </c>
      <c r="AJ5" s="64">
        <f t="shared" si="2"/>
        <v>8</v>
      </c>
      <c r="AK5" s="64">
        <f t="shared" si="2"/>
        <v>13</v>
      </c>
      <c r="AL5" s="65">
        <f t="shared" si="2"/>
        <v>24</v>
      </c>
    </row>
    <row r="6" spans="1:38" ht="15" thickBot="1" x14ac:dyDescent="0.4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 t="shared" si="0"/>
        <v>4</v>
      </c>
      <c r="H6" s="40">
        <f t="shared" si="1"/>
        <v>10</v>
      </c>
      <c r="I6" s="40">
        <f t="shared" si="1"/>
        <v>16</v>
      </c>
      <c r="J6" s="66">
        <f t="shared" si="1"/>
        <v>22</v>
      </c>
      <c r="K6" s="43">
        <f t="shared" si="1"/>
        <v>4</v>
      </c>
      <c r="L6" s="40">
        <f t="shared" si="1"/>
        <v>8</v>
      </c>
      <c r="M6" s="40">
        <f t="shared" si="1"/>
        <v>18</v>
      </c>
      <c r="N6" s="66">
        <f t="shared" si="1"/>
        <v>22</v>
      </c>
      <c r="O6" s="43">
        <f t="shared" si="1"/>
        <v>4</v>
      </c>
      <c r="P6" s="40">
        <f t="shared" si="1"/>
        <v>12</v>
      </c>
      <c r="Q6" s="40">
        <f t="shared" si="1"/>
        <v>14</v>
      </c>
      <c r="R6" s="66">
        <f t="shared" si="1"/>
        <v>22</v>
      </c>
      <c r="S6" s="43">
        <f t="shared" si="1"/>
        <v>4</v>
      </c>
      <c r="T6" s="40">
        <f t="shared" si="1"/>
        <v>10</v>
      </c>
      <c r="U6" s="40">
        <f t="shared" si="1"/>
        <v>16</v>
      </c>
      <c r="V6" s="66">
        <f t="shared" si="1"/>
        <v>22</v>
      </c>
      <c r="W6" s="63">
        <f t="shared" si="1"/>
        <v>4</v>
      </c>
      <c r="X6" s="64">
        <f t="shared" si="2"/>
        <v>9</v>
      </c>
      <c r="Y6" s="64">
        <f t="shared" si="2"/>
        <v>14</v>
      </c>
      <c r="Z6" s="65">
        <f t="shared" si="2"/>
        <v>19</v>
      </c>
      <c r="AA6" s="63">
        <f t="shared" si="2"/>
        <v>4</v>
      </c>
      <c r="AB6" s="64">
        <f t="shared" si="2"/>
        <v>7</v>
      </c>
      <c r="AC6" s="64">
        <f t="shared" si="2"/>
        <v>16</v>
      </c>
      <c r="AD6" s="65">
        <f t="shared" si="2"/>
        <v>19</v>
      </c>
      <c r="AE6" s="63">
        <f t="shared" si="2"/>
        <v>4</v>
      </c>
      <c r="AF6" s="64">
        <f t="shared" si="2"/>
        <v>11</v>
      </c>
      <c r="AG6" s="64">
        <f t="shared" si="2"/>
        <v>18</v>
      </c>
      <c r="AH6" s="65">
        <f t="shared" si="2"/>
        <v>19</v>
      </c>
      <c r="AI6" s="63">
        <f t="shared" si="2"/>
        <v>4</v>
      </c>
      <c r="AJ6" s="64">
        <f t="shared" si="2"/>
        <v>9</v>
      </c>
      <c r="AK6" s="64">
        <f t="shared" si="2"/>
        <v>14</v>
      </c>
      <c r="AL6" s="65">
        <f t="shared" si="2"/>
        <v>19</v>
      </c>
    </row>
    <row r="7" spans="1:38" ht="15" thickBot="1" x14ac:dyDescent="0.4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 t="shared" si="0"/>
        <v>5</v>
      </c>
      <c r="H7" s="40">
        <f t="shared" si="1"/>
        <v>11</v>
      </c>
      <c r="I7" s="40">
        <f t="shared" si="1"/>
        <v>17</v>
      </c>
      <c r="J7" s="66">
        <f t="shared" si="1"/>
        <v>23</v>
      </c>
      <c r="K7" s="43">
        <f t="shared" si="1"/>
        <v>5</v>
      </c>
      <c r="L7" s="40">
        <f t="shared" si="1"/>
        <v>9</v>
      </c>
      <c r="M7" s="40">
        <f t="shared" si="1"/>
        <v>13</v>
      </c>
      <c r="N7" s="66">
        <f t="shared" si="1"/>
        <v>23</v>
      </c>
      <c r="O7" s="43">
        <f t="shared" si="1"/>
        <v>5</v>
      </c>
      <c r="P7" s="40">
        <f t="shared" si="1"/>
        <v>7</v>
      </c>
      <c r="Q7" s="40">
        <f t="shared" si="1"/>
        <v>15</v>
      </c>
      <c r="R7" s="66">
        <f t="shared" si="1"/>
        <v>23</v>
      </c>
      <c r="S7" s="43">
        <f t="shared" si="1"/>
        <v>5</v>
      </c>
      <c r="T7" s="40">
        <f t="shared" si="1"/>
        <v>11</v>
      </c>
      <c r="U7" s="40">
        <f t="shared" si="1"/>
        <v>17</v>
      </c>
      <c r="V7" s="66">
        <f t="shared" si="1"/>
        <v>23</v>
      </c>
      <c r="W7" s="63">
        <f t="shared" si="1"/>
        <v>5</v>
      </c>
      <c r="X7" s="64">
        <f t="shared" si="2"/>
        <v>10</v>
      </c>
      <c r="Y7" s="64">
        <f t="shared" si="2"/>
        <v>15</v>
      </c>
      <c r="Z7" s="65">
        <f t="shared" si="2"/>
        <v>20</v>
      </c>
      <c r="AA7" s="63">
        <f t="shared" si="2"/>
        <v>5</v>
      </c>
      <c r="AB7" s="64">
        <f t="shared" si="2"/>
        <v>8</v>
      </c>
      <c r="AC7" s="64">
        <f t="shared" si="2"/>
        <v>17</v>
      </c>
      <c r="AD7" s="65">
        <f t="shared" si="2"/>
        <v>20</v>
      </c>
      <c r="AE7" s="63">
        <f t="shared" si="2"/>
        <v>5</v>
      </c>
      <c r="AF7" s="64">
        <f t="shared" si="2"/>
        <v>12</v>
      </c>
      <c r="AG7" s="64">
        <f t="shared" si="2"/>
        <v>13</v>
      </c>
      <c r="AH7" s="65">
        <f t="shared" si="2"/>
        <v>20</v>
      </c>
      <c r="AI7" s="63">
        <f t="shared" si="2"/>
        <v>5</v>
      </c>
      <c r="AJ7" s="64">
        <f t="shared" si="2"/>
        <v>10</v>
      </c>
      <c r="AK7" s="64">
        <f t="shared" si="2"/>
        <v>15</v>
      </c>
      <c r="AL7" s="65">
        <f t="shared" si="2"/>
        <v>20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>
        <f t="shared" si="0"/>
        <v>6</v>
      </c>
      <c r="H8" s="40">
        <f t="shared" si="1"/>
        <v>12</v>
      </c>
      <c r="I8" s="40">
        <f t="shared" si="1"/>
        <v>18</v>
      </c>
      <c r="J8" s="66">
        <f t="shared" si="1"/>
        <v>24</v>
      </c>
      <c r="K8" s="43">
        <f t="shared" si="1"/>
        <v>6</v>
      </c>
      <c r="L8" s="40">
        <f t="shared" si="1"/>
        <v>10</v>
      </c>
      <c r="M8" s="40">
        <f t="shared" si="1"/>
        <v>14</v>
      </c>
      <c r="N8" s="66">
        <f t="shared" si="1"/>
        <v>24</v>
      </c>
      <c r="O8" s="43">
        <f t="shared" si="1"/>
        <v>6</v>
      </c>
      <c r="P8" s="40">
        <f t="shared" si="1"/>
        <v>8</v>
      </c>
      <c r="Q8" s="40">
        <f t="shared" si="1"/>
        <v>16</v>
      </c>
      <c r="R8" s="66">
        <f t="shared" si="1"/>
        <v>24</v>
      </c>
      <c r="S8" s="43">
        <f t="shared" si="1"/>
        <v>6</v>
      </c>
      <c r="T8" s="40">
        <f t="shared" si="1"/>
        <v>12</v>
      </c>
      <c r="U8" s="40">
        <f t="shared" si="1"/>
        <v>18</v>
      </c>
      <c r="V8" s="66">
        <f t="shared" si="1"/>
        <v>24</v>
      </c>
      <c r="W8" s="63">
        <f t="shared" si="1"/>
        <v>6</v>
      </c>
      <c r="X8" s="64">
        <f t="shared" si="2"/>
        <v>11</v>
      </c>
      <c r="Y8" s="64">
        <f t="shared" si="2"/>
        <v>16</v>
      </c>
      <c r="Z8" s="65">
        <f t="shared" si="2"/>
        <v>21</v>
      </c>
      <c r="AA8" s="63">
        <f t="shared" si="2"/>
        <v>6</v>
      </c>
      <c r="AB8" s="64">
        <f t="shared" si="2"/>
        <v>9</v>
      </c>
      <c r="AC8" s="64">
        <f t="shared" si="2"/>
        <v>18</v>
      </c>
      <c r="AD8" s="65">
        <f t="shared" si="2"/>
        <v>21</v>
      </c>
      <c r="AE8" s="63">
        <f t="shared" si="2"/>
        <v>6</v>
      </c>
      <c r="AF8" s="64">
        <f t="shared" si="2"/>
        <v>7</v>
      </c>
      <c r="AG8" s="64">
        <f t="shared" si="2"/>
        <v>14</v>
      </c>
      <c r="AH8" s="65">
        <f t="shared" si="2"/>
        <v>21</v>
      </c>
      <c r="AI8" s="63">
        <f t="shared" si="2"/>
        <v>6</v>
      </c>
      <c r="AJ8" s="64">
        <f t="shared" si="2"/>
        <v>11</v>
      </c>
      <c r="AK8" s="64">
        <f t="shared" si="2"/>
        <v>16</v>
      </c>
      <c r="AL8" s="65">
        <f t="shared" si="2"/>
        <v>21</v>
      </c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/>
      <c r="H9" s="40"/>
      <c r="I9" s="40"/>
      <c r="J9" s="66"/>
      <c r="K9" s="43"/>
      <c r="L9" s="40"/>
      <c r="M9" s="40"/>
      <c r="N9" s="66"/>
      <c r="O9" s="43"/>
      <c r="P9" s="40"/>
      <c r="Q9" s="40"/>
      <c r="R9" s="66"/>
      <c r="S9" s="43"/>
      <c r="T9" s="40"/>
      <c r="U9" s="40"/>
      <c r="V9" s="6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/>
      <c r="H10" s="40"/>
      <c r="I10" s="40"/>
      <c r="J10" s="66"/>
      <c r="K10" s="43"/>
      <c r="L10" s="40"/>
      <c r="M10" s="40"/>
      <c r="N10" s="66"/>
      <c r="O10" s="43"/>
      <c r="P10" s="40"/>
      <c r="Q10" s="40"/>
      <c r="R10" s="66"/>
      <c r="S10" s="43"/>
      <c r="T10" s="40"/>
      <c r="U10" s="40"/>
      <c r="V10" s="6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x14ac:dyDescent="0.35">
      <c r="A11" s="18">
        <v>8</v>
      </c>
      <c r="B11" s="19" t="s">
        <v>18</v>
      </c>
      <c r="G11" s="43"/>
      <c r="H11" s="40"/>
      <c r="I11" s="40"/>
      <c r="J11" s="66"/>
      <c r="K11" s="43"/>
      <c r="L11" s="40"/>
      <c r="M11" s="40"/>
      <c r="N11" s="66"/>
      <c r="O11" s="43"/>
      <c r="P11" s="40"/>
      <c r="Q11" s="40"/>
      <c r="R11" s="66"/>
      <c r="S11" s="43"/>
      <c r="T11" s="40"/>
      <c r="U11" s="40"/>
      <c r="V11" s="6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x14ac:dyDescent="0.35">
      <c r="A12" s="18">
        <v>9</v>
      </c>
      <c r="B12" s="19" t="s">
        <v>18</v>
      </c>
      <c r="G12" s="43"/>
      <c r="H12" s="40"/>
      <c r="I12" s="40"/>
      <c r="J12" s="66"/>
      <c r="K12" s="43"/>
      <c r="L12" s="40"/>
      <c r="M12" s="40"/>
      <c r="N12" s="66"/>
      <c r="O12" s="43"/>
      <c r="P12" s="40"/>
      <c r="Q12" s="40"/>
      <c r="R12" s="66"/>
      <c r="S12" s="43"/>
      <c r="T12" s="40"/>
      <c r="U12" s="40"/>
      <c r="V12" s="6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x14ac:dyDescent="0.35">
      <c r="A13" s="18">
        <v>10</v>
      </c>
      <c r="B13" s="19" t="s">
        <v>18</v>
      </c>
      <c r="G13" s="43"/>
      <c r="H13" s="40"/>
      <c r="I13" s="40"/>
      <c r="J13" s="66"/>
      <c r="K13" s="43"/>
      <c r="L13" s="40"/>
      <c r="M13" s="40"/>
      <c r="N13" s="66"/>
      <c r="O13" s="43"/>
      <c r="P13" s="40"/>
      <c r="Q13" s="40"/>
      <c r="R13" s="66"/>
      <c r="S13" s="43"/>
      <c r="T13" s="40"/>
      <c r="U13" s="40"/>
      <c r="V13" s="6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35">
      <c r="A14" s="18">
        <v>11</v>
      </c>
      <c r="B14" s="19" t="s">
        <v>18</v>
      </c>
      <c r="D14">
        <f>$B$2/$C$2-$E$2/2+1</f>
        <v>5</v>
      </c>
      <c r="E14">
        <f>$B$2/$C$2+$E$2/2</f>
        <v>8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11</v>
      </c>
      <c r="E15">
        <f>2*$B$2/$C$2+$E$2/2</f>
        <v>14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17</v>
      </c>
      <c r="E16">
        <f>3*$B$2/$C$2+$E$2/2</f>
        <v>20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22</v>
      </c>
      <c r="E17">
        <f>$B$2</f>
        <v>24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8</v>
      </c>
      <c r="E19">
        <f>ROUND($B$2/$C$2+$E$2/2+$B$2/8,0)</f>
        <v>11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14</v>
      </c>
      <c r="E20">
        <f>ROUND(2*$B$2/$C$2+$E$2/2+$B$2/8,0)</f>
        <v>17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20</v>
      </c>
      <c r="E21">
        <f>ROUND(3*$B$2/$C$2+$E$2/2+$B$2/8,0)</f>
        <v>23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22</v>
      </c>
      <c r="E22">
        <f>$B$2</f>
        <v>24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2</v>
      </c>
      <c r="E23">
        <f>ROUND($B$2/$C$2+$E$2/2-$B$2/8,0)</f>
        <v>5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3">SUM(F28:F40)</f>
        <v>45</v>
      </c>
      <c r="G41">
        <f t="shared" si="3"/>
        <v>79</v>
      </c>
      <c r="H41">
        <f t="shared" si="3"/>
        <v>70</v>
      </c>
      <c r="I41">
        <f t="shared" si="3"/>
        <v>59</v>
      </c>
      <c r="J41">
        <f t="shared" si="3"/>
        <v>51</v>
      </c>
      <c r="K41">
        <f t="shared" si="3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94" priority="22" operator="between">
      <formula>$D$17</formula>
      <formula>$E$17</formula>
    </cfRule>
    <cfRule type="cellIs" dxfId="93" priority="23" operator="between">
      <formula>$D$16</formula>
      <formula>$E$16</formula>
    </cfRule>
    <cfRule type="cellIs" dxfId="92" priority="24" operator="between">
      <formula>$D$15</formula>
      <formula>$E$15</formula>
    </cfRule>
    <cfRule type="cellIs" dxfId="91" priority="25" operator="between">
      <formula>$D$14</formula>
      <formula>$E$14</formula>
    </cfRule>
  </conditionalFormatting>
  <conditionalFormatting sqref="W9:AL22">
    <cfRule type="cellIs" dxfId="90" priority="17" operator="between">
      <formula>$D$23</formula>
      <formula>$E$23</formula>
    </cfRule>
    <cfRule type="cellIs" dxfId="89" priority="18" operator="between">
      <formula>$D$22</formula>
      <formula>$E$22</formula>
    </cfRule>
    <cfRule type="cellIs" dxfId="88" priority="19" operator="between">
      <formula>$D$21</formula>
      <formula>$E$21</formula>
    </cfRule>
    <cfRule type="cellIs" dxfId="87" priority="20" operator="between">
      <formula>$D$20</formula>
      <formula>$E$20</formula>
    </cfRule>
    <cfRule type="cellIs" dxfId="86" priority="21" operator="between">
      <formula>$D$19</formula>
      <formula>$E$19</formula>
    </cfRule>
  </conditionalFormatting>
  <conditionalFormatting sqref="W3:Z8">
    <cfRule type="cellIs" dxfId="85" priority="13" operator="between">
      <formula>$D$17</formula>
      <formula>$E$17</formula>
    </cfRule>
    <cfRule type="cellIs" dxfId="84" priority="14" operator="between">
      <formula>$D$16</formula>
      <formula>$E$16</formula>
    </cfRule>
    <cfRule type="cellIs" dxfId="83" priority="15" operator="between">
      <formula>$D$15</formula>
      <formula>$E$15</formula>
    </cfRule>
    <cfRule type="cellIs" dxfId="82" priority="16" operator="between">
      <formula>$D$14</formula>
      <formula>$E$14</formula>
    </cfRule>
  </conditionalFormatting>
  <conditionalFormatting sqref="AA3:AD8">
    <cfRule type="cellIs" dxfId="81" priority="9" operator="between">
      <formula>$D$17</formula>
      <formula>$E$17</formula>
    </cfRule>
    <cfRule type="cellIs" dxfId="80" priority="10" operator="between">
      <formula>$D$16</formula>
      <formula>$E$16</formula>
    </cfRule>
    <cfRule type="cellIs" dxfId="79" priority="11" operator="between">
      <formula>$D$15</formula>
      <formula>$E$15</formula>
    </cfRule>
    <cfRule type="cellIs" dxfId="78" priority="12" operator="between">
      <formula>$D$14</formula>
      <formula>$E$14</formula>
    </cfRule>
  </conditionalFormatting>
  <conditionalFormatting sqref="AE3:AH8">
    <cfRule type="cellIs" dxfId="77" priority="5" operator="between">
      <formula>$D$17</formula>
      <formula>$E$17</formula>
    </cfRule>
    <cfRule type="cellIs" dxfId="76" priority="6" operator="between">
      <formula>$D$16</formula>
      <formula>$E$16</formula>
    </cfRule>
    <cfRule type="cellIs" dxfId="75" priority="7" operator="between">
      <formula>$D$15</formula>
      <formula>$E$15</formula>
    </cfRule>
    <cfRule type="cellIs" dxfId="74" priority="8" operator="between">
      <formula>$D$14</formula>
      <formula>$E$14</formula>
    </cfRule>
  </conditionalFormatting>
  <conditionalFormatting sqref="AI3:AL8">
    <cfRule type="cellIs" dxfId="73" priority="1" operator="between">
      <formula>$D$17</formula>
      <formula>$E$17</formula>
    </cfRule>
    <cfRule type="cellIs" dxfId="72" priority="2" operator="between">
      <formula>$D$16</formula>
      <formula>$E$16</formula>
    </cfRule>
    <cfRule type="cellIs" dxfId="71" priority="3" operator="between">
      <formula>$D$15</formula>
      <formula>$E$15</formula>
    </cfRule>
    <cfRule type="cellIs" dxfId="70" priority="4" operator="between">
      <formula>$D$14</formula>
      <formula>$E$14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List12">
    <pageSetUpPr fitToPage="1"/>
  </sheetPr>
  <dimension ref="A1:P17"/>
  <sheetViews>
    <sheetView zoomScaleNormal="100" zoomScalePageLayoutView="40" workbookViewId="0">
      <selection activeCell="D28" sqref="D28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6</v>
      </c>
      <c r="C4" s="58">
        <v>11</v>
      </c>
      <c r="D4" s="59">
        <v>16</v>
      </c>
      <c r="E4" s="57">
        <v>1</v>
      </c>
      <c r="F4" s="58">
        <v>9</v>
      </c>
      <c r="G4" s="86">
        <v>12</v>
      </c>
      <c r="H4" s="59">
        <v>20</v>
      </c>
      <c r="I4" s="57">
        <v>1</v>
      </c>
      <c r="J4" s="58">
        <v>7</v>
      </c>
      <c r="K4" s="58">
        <v>13</v>
      </c>
      <c r="L4" s="90">
        <v>19</v>
      </c>
      <c r="M4" s="57">
        <v>1</v>
      </c>
      <c r="N4" s="86">
        <v>10</v>
      </c>
      <c r="O4" s="58">
        <v>14</v>
      </c>
      <c r="P4" s="59">
        <v>18</v>
      </c>
    </row>
    <row r="5" spans="1:16" x14ac:dyDescent="0.35">
      <c r="A5" s="82">
        <v>2</v>
      </c>
      <c r="B5" s="55">
        <v>7</v>
      </c>
      <c r="C5" s="55">
        <v>12</v>
      </c>
      <c r="D5" s="56">
        <v>17</v>
      </c>
      <c r="E5" s="75">
        <v>2</v>
      </c>
      <c r="F5" s="76">
        <v>10</v>
      </c>
      <c r="G5" s="87">
        <v>13</v>
      </c>
      <c r="H5" s="77">
        <v>16</v>
      </c>
      <c r="I5" s="49">
        <v>2</v>
      </c>
      <c r="J5" s="50">
        <v>8</v>
      </c>
      <c r="K5" s="50">
        <v>14</v>
      </c>
      <c r="L5" s="91">
        <v>20</v>
      </c>
      <c r="M5" s="75">
        <v>2</v>
      </c>
      <c r="N5" s="87">
        <v>6</v>
      </c>
      <c r="O5" s="76">
        <v>15</v>
      </c>
      <c r="P5" s="77">
        <v>19</v>
      </c>
    </row>
    <row r="6" spans="1:16" x14ac:dyDescent="0.35">
      <c r="A6" s="83">
        <v>3</v>
      </c>
      <c r="B6" s="61">
        <v>8</v>
      </c>
      <c r="C6" s="61">
        <v>13</v>
      </c>
      <c r="D6" s="62">
        <v>18</v>
      </c>
      <c r="E6" s="60">
        <v>3</v>
      </c>
      <c r="F6" s="61">
        <v>6</v>
      </c>
      <c r="G6" s="88">
        <v>14</v>
      </c>
      <c r="H6" s="62">
        <v>17</v>
      </c>
      <c r="I6" s="60">
        <v>3</v>
      </c>
      <c r="J6" s="61">
        <v>9</v>
      </c>
      <c r="K6" s="61">
        <v>15</v>
      </c>
      <c r="L6" s="92">
        <v>16</v>
      </c>
      <c r="M6" s="60">
        <v>3</v>
      </c>
      <c r="N6" s="88">
        <v>7</v>
      </c>
      <c r="O6" s="61">
        <v>11</v>
      </c>
      <c r="P6" s="62">
        <v>20</v>
      </c>
    </row>
    <row r="7" spans="1:16" x14ac:dyDescent="0.35">
      <c r="A7" s="82">
        <v>4</v>
      </c>
      <c r="B7" s="55">
        <v>9</v>
      </c>
      <c r="C7" s="55">
        <v>14</v>
      </c>
      <c r="D7" s="56">
        <v>19</v>
      </c>
      <c r="E7" s="75">
        <v>4</v>
      </c>
      <c r="F7" s="76">
        <v>7</v>
      </c>
      <c r="G7" s="87">
        <v>15</v>
      </c>
      <c r="H7" s="77">
        <v>18</v>
      </c>
      <c r="I7" s="49">
        <v>4</v>
      </c>
      <c r="J7" s="50">
        <v>10</v>
      </c>
      <c r="K7" s="50">
        <v>11</v>
      </c>
      <c r="L7" s="91">
        <v>17</v>
      </c>
      <c r="M7" s="75">
        <v>4</v>
      </c>
      <c r="N7" s="87">
        <v>8</v>
      </c>
      <c r="O7" s="76">
        <v>12</v>
      </c>
      <c r="P7" s="77">
        <v>16</v>
      </c>
    </row>
    <row r="8" spans="1:16" x14ac:dyDescent="0.35">
      <c r="A8" s="83">
        <v>5</v>
      </c>
      <c r="B8" s="61">
        <v>10</v>
      </c>
      <c r="C8" s="61">
        <v>15</v>
      </c>
      <c r="D8" s="62">
        <v>20</v>
      </c>
      <c r="E8" s="60">
        <v>5</v>
      </c>
      <c r="F8" s="61">
        <v>8</v>
      </c>
      <c r="G8" s="88">
        <v>11</v>
      </c>
      <c r="H8" s="62">
        <v>19</v>
      </c>
      <c r="I8" s="60">
        <v>5</v>
      </c>
      <c r="J8" s="61">
        <v>6</v>
      </c>
      <c r="K8" s="61">
        <v>12</v>
      </c>
      <c r="L8" s="92">
        <v>18</v>
      </c>
      <c r="M8" s="60">
        <v>5</v>
      </c>
      <c r="N8" s="88">
        <v>9</v>
      </c>
      <c r="O8" s="61">
        <v>13</v>
      </c>
      <c r="P8" s="62">
        <v>17</v>
      </c>
    </row>
    <row r="9" spans="1:16" ht="15" thickBot="1" x14ac:dyDescent="0.4"/>
    <row r="10" spans="1:16" x14ac:dyDescent="0.35">
      <c r="A10" s="108" t="s">
        <v>34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10"/>
    </row>
    <row r="11" spans="1:16" ht="5.25" customHeight="1" thickBot="1" x14ac:dyDescent="0.4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3"/>
    </row>
    <row r="12" spans="1:16" ht="15" thickBot="1" x14ac:dyDescent="0.4">
      <c r="A12" s="102" t="s">
        <v>30</v>
      </c>
      <c r="B12" s="103"/>
      <c r="C12" s="103"/>
      <c r="D12" s="104"/>
      <c r="E12" s="105" t="s">
        <v>31</v>
      </c>
      <c r="F12" s="106"/>
      <c r="G12" s="106"/>
      <c r="H12" s="107"/>
      <c r="I12" s="102" t="s">
        <v>32</v>
      </c>
      <c r="J12" s="103"/>
      <c r="K12" s="103"/>
      <c r="L12" s="104"/>
      <c r="M12" s="105" t="s">
        <v>33</v>
      </c>
      <c r="N12" s="106"/>
      <c r="O12" s="106"/>
      <c r="P12" s="107"/>
    </row>
    <row r="13" spans="1:16" x14ac:dyDescent="0.35">
      <c r="A13" s="57">
        <v>1</v>
      </c>
      <c r="B13" s="86">
        <v>10</v>
      </c>
      <c r="C13" s="58">
        <v>14</v>
      </c>
      <c r="D13" s="59">
        <v>18</v>
      </c>
      <c r="E13" s="57">
        <v>1</v>
      </c>
      <c r="F13" s="58">
        <v>8</v>
      </c>
      <c r="G13" s="58">
        <v>15</v>
      </c>
      <c r="H13" s="90">
        <v>17</v>
      </c>
      <c r="I13" s="57">
        <v>1</v>
      </c>
      <c r="J13" s="58">
        <v>6</v>
      </c>
      <c r="K13" s="86">
        <v>11</v>
      </c>
      <c r="L13" s="59">
        <v>16</v>
      </c>
      <c r="M13" s="81">
        <v>1</v>
      </c>
      <c r="N13" s="58">
        <v>9</v>
      </c>
      <c r="O13" s="58">
        <v>12</v>
      </c>
      <c r="P13" s="59">
        <v>20</v>
      </c>
    </row>
    <row r="14" spans="1:16" x14ac:dyDescent="0.35">
      <c r="A14" s="94">
        <v>2</v>
      </c>
      <c r="B14" s="95">
        <v>6</v>
      </c>
      <c r="C14" s="55">
        <v>15</v>
      </c>
      <c r="D14" s="56">
        <v>19</v>
      </c>
      <c r="E14" s="75">
        <v>2</v>
      </c>
      <c r="F14" s="76">
        <v>9</v>
      </c>
      <c r="G14" s="76">
        <v>11</v>
      </c>
      <c r="H14" s="98">
        <v>18</v>
      </c>
      <c r="I14" s="49">
        <v>2</v>
      </c>
      <c r="J14" s="50">
        <v>7</v>
      </c>
      <c r="K14" s="96">
        <v>12</v>
      </c>
      <c r="L14" s="51">
        <v>17</v>
      </c>
      <c r="M14" s="100">
        <v>2</v>
      </c>
      <c r="N14" s="76">
        <v>10</v>
      </c>
      <c r="O14" s="76">
        <v>13</v>
      </c>
      <c r="P14" s="77">
        <v>16</v>
      </c>
    </row>
    <row r="15" spans="1:16" x14ac:dyDescent="0.35">
      <c r="A15" s="60">
        <v>3</v>
      </c>
      <c r="B15" s="88">
        <v>7</v>
      </c>
      <c r="C15" s="61">
        <v>11</v>
      </c>
      <c r="D15" s="62">
        <v>20</v>
      </c>
      <c r="E15" s="60">
        <v>3</v>
      </c>
      <c r="F15" s="61">
        <v>10</v>
      </c>
      <c r="G15" s="61">
        <v>12</v>
      </c>
      <c r="H15" s="92">
        <v>19</v>
      </c>
      <c r="I15" s="60">
        <v>3</v>
      </c>
      <c r="J15" s="61">
        <v>8</v>
      </c>
      <c r="K15" s="88">
        <v>13</v>
      </c>
      <c r="L15" s="62">
        <v>18</v>
      </c>
      <c r="M15" s="83">
        <v>3</v>
      </c>
      <c r="N15" s="61">
        <v>6</v>
      </c>
      <c r="O15" s="61">
        <v>14</v>
      </c>
      <c r="P15" s="62">
        <v>17</v>
      </c>
    </row>
    <row r="16" spans="1:16" x14ac:dyDescent="0.35">
      <c r="A16" s="94">
        <v>4</v>
      </c>
      <c r="B16" s="95">
        <v>8</v>
      </c>
      <c r="C16" s="55">
        <v>12</v>
      </c>
      <c r="D16" s="56">
        <v>16</v>
      </c>
      <c r="E16" s="75">
        <v>4</v>
      </c>
      <c r="F16" s="76">
        <v>6</v>
      </c>
      <c r="G16" s="76">
        <v>13</v>
      </c>
      <c r="H16" s="98">
        <v>20</v>
      </c>
      <c r="I16" s="49">
        <v>4</v>
      </c>
      <c r="J16" s="50">
        <v>9</v>
      </c>
      <c r="K16" s="96">
        <v>14</v>
      </c>
      <c r="L16" s="51">
        <v>19</v>
      </c>
      <c r="M16" s="100">
        <v>4</v>
      </c>
      <c r="N16" s="76">
        <v>7</v>
      </c>
      <c r="O16" s="76">
        <v>15</v>
      </c>
      <c r="P16" s="77">
        <v>18</v>
      </c>
    </row>
    <row r="17" spans="1:16" x14ac:dyDescent="0.35">
      <c r="A17" s="60">
        <v>5</v>
      </c>
      <c r="B17" s="88">
        <v>9</v>
      </c>
      <c r="C17" s="61">
        <v>13</v>
      </c>
      <c r="D17" s="62">
        <v>17</v>
      </c>
      <c r="E17" s="60">
        <v>5</v>
      </c>
      <c r="F17" s="61">
        <v>7</v>
      </c>
      <c r="G17" s="61">
        <v>14</v>
      </c>
      <c r="H17" s="92">
        <v>16</v>
      </c>
      <c r="I17" s="60">
        <v>5</v>
      </c>
      <c r="J17" s="61">
        <v>10</v>
      </c>
      <c r="K17" s="88">
        <v>15</v>
      </c>
      <c r="L17" s="62">
        <v>20</v>
      </c>
      <c r="M17" s="83">
        <v>5</v>
      </c>
      <c r="N17" s="61">
        <v>8</v>
      </c>
      <c r="O17" s="61">
        <v>11</v>
      </c>
      <c r="P17" s="62">
        <v>19</v>
      </c>
    </row>
  </sheetData>
  <mergeCells count="10">
    <mergeCell ref="A12:D12"/>
    <mergeCell ref="E12:H12"/>
    <mergeCell ref="I12:L12"/>
    <mergeCell ref="M12:P12"/>
    <mergeCell ref="A1:P2"/>
    <mergeCell ref="A3:D3"/>
    <mergeCell ref="E3:H3"/>
    <mergeCell ref="I3:L3"/>
    <mergeCell ref="M3:P3"/>
    <mergeCell ref="A10:P11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List11"/>
  <dimension ref="A1:AL82"/>
  <sheetViews>
    <sheetView workbookViewId="0">
      <selection activeCell="V3" sqref="G3:V7"/>
    </sheetView>
  </sheetViews>
  <sheetFormatPr defaultRowHeight="14.5" x14ac:dyDescent="0.35"/>
  <cols>
    <col min="2" max="2" width="19" customWidth="1"/>
    <col min="4" max="4" width="8.453125" customWidth="1"/>
    <col min="7" max="7" width="9.1796875" style="5"/>
  </cols>
  <sheetData>
    <row r="1" spans="1:38" x14ac:dyDescent="0.35">
      <c r="B1">
        <f>IF(FLOOR(1*$B$2/32,1)&lt;1,1,FLOOR(1*$B$2/32,1))</f>
        <v>1</v>
      </c>
      <c r="C1">
        <f>FLOOR(2*$B$2/32,1)</f>
        <v>1</v>
      </c>
      <c r="D1">
        <f>FLOOR(3*$B$2/32,1)</f>
        <v>1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5</v>
      </c>
      <c r="AH1" s="10">
        <v>5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20</v>
      </c>
      <c r="C2">
        <v>4</v>
      </c>
      <c r="D2">
        <v>8</v>
      </c>
      <c r="E2">
        <v>4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>MOD($A3-G$1*G$2,$B$2/4)+G$2*$B$2/4+1</f>
        <v>1</v>
      </c>
      <c r="H3" s="64">
        <f t="shared" ref="H3:W7" si="0">MOD($A3-H$1*H$2,$B$2/4)+H$2*$B$2/4+1</f>
        <v>6</v>
      </c>
      <c r="I3" s="64">
        <f t="shared" si="0"/>
        <v>11</v>
      </c>
      <c r="J3" s="65">
        <f t="shared" si="0"/>
        <v>16</v>
      </c>
      <c r="K3" s="63">
        <f t="shared" si="0"/>
        <v>1</v>
      </c>
      <c r="L3" s="64">
        <f t="shared" si="0"/>
        <v>9</v>
      </c>
      <c r="M3" s="64">
        <f t="shared" si="0"/>
        <v>12</v>
      </c>
      <c r="N3" s="65">
        <f t="shared" si="0"/>
        <v>20</v>
      </c>
      <c r="O3" s="63">
        <f t="shared" si="0"/>
        <v>1</v>
      </c>
      <c r="P3" s="64">
        <f t="shared" si="0"/>
        <v>7</v>
      </c>
      <c r="Q3" s="64">
        <f t="shared" si="0"/>
        <v>13</v>
      </c>
      <c r="R3" s="65">
        <f t="shared" si="0"/>
        <v>19</v>
      </c>
      <c r="S3" s="63">
        <f t="shared" si="0"/>
        <v>1</v>
      </c>
      <c r="T3" s="64">
        <f t="shared" si="0"/>
        <v>10</v>
      </c>
      <c r="U3" s="64">
        <f t="shared" si="0"/>
        <v>14</v>
      </c>
      <c r="V3" s="65">
        <f t="shared" si="0"/>
        <v>18</v>
      </c>
      <c r="W3" s="63">
        <f t="shared" si="0"/>
        <v>1</v>
      </c>
      <c r="X3" s="64">
        <f t="shared" ref="W3:AL7" si="1">MOD($A3-X$1*X$2,$B$2/4)+X$2*$B$2/4+1</f>
        <v>10</v>
      </c>
      <c r="Y3" s="64">
        <f t="shared" si="1"/>
        <v>14</v>
      </c>
      <c r="Z3" s="65">
        <f t="shared" si="1"/>
        <v>18</v>
      </c>
      <c r="AA3" s="63">
        <f t="shared" si="1"/>
        <v>1</v>
      </c>
      <c r="AB3" s="64">
        <f t="shared" si="1"/>
        <v>8</v>
      </c>
      <c r="AC3" s="64">
        <f t="shared" si="1"/>
        <v>15</v>
      </c>
      <c r="AD3" s="65">
        <f t="shared" si="1"/>
        <v>17</v>
      </c>
      <c r="AE3" s="63">
        <f t="shared" si="1"/>
        <v>1</v>
      </c>
      <c r="AF3" s="64">
        <f t="shared" si="1"/>
        <v>6</v>
      </c>
      <c r="AG3" s="64">
        <f t="shared" si="1"/>
        <v>11</v>
      </c>
      <c r="AH3" s="65">
        <f t="shared" si="1"/>
        <v>16</v>
      </c>
      <c r="AI3" s="63">
        <f t="shared" si="1"/>
        <v>1</v>
      </c>
      <c r="AJ3" s="64">
        <f t="shared" si="1"/>
        <v>9</v>
      </c>
      <c r="AK3" s="64">
        <f t="shared" si="1"/>
        <v>12</v>
      </c>
      <c r="AL3" s="65">
        <f t="shared" si="1"/>
        <v>20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>MOD($A4-G$1*G$2,$B$2/4)+G$2*$B$2/4+1</f>
        <v>2</v>
      </c>
      <c r="H4" s="40">
        <f t="shared" si="0"/>
        <v>7</v>
      </c>
      <c r="I4" s="40">
        <f t="shared" si="0"/>
        <v>12</v>
      </c>
      <c r="J4" s="66">
        <f t="shared" si="0"/>
        <v>17</v>
      </c>
      <c r="K4" s="43">
        <f t="shared" si="0"/>
        <v>2</v>
      </c>
      <c r="L4" s="40">
        <f t="shared" si="0"/>
        <v>10</v>
      </c>
      <c r="M4" s="40">
        <f t="shared" si="0"/>
        <v>13</v>
      </c>
      <c r="N4" s="66">
        <f t="shared" si="0"/>
        <v>16</v>
      </c>
      <c r="O4" s="43">
        <f t="shared" si="0"/>
        <v>2</v>
      </c>
      <c r="P4" s="40">
        <f t="shared" si="0"/>
        <v>8</v>
      </c>
      <c r="Q4" s="40">
        <f t="shared" si="0"/>
        <v>14</v>
      </c>
      <c r="R4" s="66">
        <f t="shared" si="0"/>
        <v>20</v>
      </c>
      <c r="S4" s="43">
        <f t="shared" si="0"/>
        <v>2</v>
      </c>
      <c r="T4" s="40">
        <f t="shared" si="0"/>
        <v>6</v>
      </c>
      <c r="U4" s="40">
        <f t="shared" si="0"/>
        <v>15</v>
      </c>
      <c r="V4" s="66">
        <f t="shared" si="0"/>
        <v>19</v>
      </c>
      <c r="W4" s="43">
        <f t="shared" si="1"/>
        <v>2</v>
      </c>
      <c r="X4" s="40">
        <f t="shared" si="1"/>
        <v>6</v>
      </c>
      <c r="Y4" s="40">
        <f t="shared" si="1"/>
        <v>15</v>
      </c>
      <c r="Z4" s="66">
        <f t="shared" si="1"/>
        <v>19</v>
      </c>
      <c r="AA4" s="43">
        <f t="shared" si="1"/>
        <v>2</v>
      </c>
      <c r="AB4" s="40">
        <f t="shared" si="1"/>
        <v>9</v>
      </c>
      <c r="AC4" s="40">
        <f t="shared" si="1"/>
        <v>11</v>
      </c>
      <c r="AD4" s="66">
        <f t="shared" si="1"/>
        <v>18</v>
      </c>
      <c r="AE4" s="43">
        <f t="shared" si="1"/>
        <v>2</v>
      </c>
      <c r="AF4" s="40">
        <f t="shared" si="1"/>
        <v>7</v>
      </c>
      <c r="AG4" s="40">
        <f t="shared" si="1"/>
        <v>12</v>
      </c>
      <c r="AH4" s="66">
        <f t="shared" si="1"/>
        <v>17</v>
      </c>
      <c r="AI4" s="43">
        <f t="shared" si="1"/>
        <v>2</v>
      </c>
      <c r="AJ4" s="40">
        <f t="shared" si="1"/>
        <v>10</v>
      </c>
      <c r="AK4" s="40">
        <f t="shared" si="1"/>
        <v>13</v>
      </c>
      <c r="AL4" s="66">
        <f t="shared" si="1"/>
        <v>16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>MOD($A5-G$1*G$2,$B$2/4)+G$2*$B$2/4+1</f>
        <v>3</v>
      </c>
      <c r="H5" s="40">
        <f t="shared" si="0"/>
        <v>8</v>
      </c>
      <c r="I5" s="40">
        <f t="shared" si="0"/>
        <v>13</v>
      </c>
      <c r="J5" s="66">
        <f t="shared" si="0"/>
        <v>18</v>
      </c>
      <c r="K5" s="43">
        <f t="shared" si="0"/>
        <v>3</v>
      </c>
      <c r="L5" s="40">
        <f t="shared" si="0"/>
        <v>6</v>
      </c>
      <c r="M5" s="40">
        <f t="shared" si="0"/>
        <v>14</v>
      </c>
      <c r="N5" s="66">
        <f t="shared" si="0"/>
        <v>17</v>
      </c>
      <c r="O5" s="43">
        <f t="shared" si="0"/>
        <v>3</v>
      </c>
      <c r="P5" s="40">
        <f t="shared" si="0"/>
        <v>9</v>
      </c>
      <c r="Q5" s="40">
        <f t="shared" si="0"/>
        <v>15</v>
      </c>
      <c r="R5" s="66">
        <f t="shared" si="0"/>
        <v>16</v>
      </c>
      <c r="S5" s="43">
        <f t="shared" si="0"/>
        <v>3</v>
      </c>
      <c r="T5" s="40">
        <f t="shared" si="0"/>
        <v>7</v>
      </c>
      <c r="U5" s="40">
        <f t="shared" si="0"/>
        <v>11</v>
      </c>
      <c r="V5" s="66">
        <f t="shared" si="0"/>
        <v>20</v>
      </c>
      <c r="W5" s="43">
        <f t="shared" si="1"/>
        <v>3</v>
      </c>
      <c r="X5" s="40">
        <f t="shared" si="1"/>
        <v>7</v>
      </c>
      <c r="Y5" s="40">
        <f t="shared" si="1"/>
        <v>11</v>
      </c>
      <c r="Z5" s="66">
        <f t="shared" si="1"/>
        <v>20</v>
      </c>
      <c r="AA5" s="43">
        <f t="shared" si="1"/>
        <v>3</v>
      </c>
      <c r="AB5" s="40">
        <f t="shared" si="1"/>
        <v>10</v>
      </c>
      <c r="AC5" s="40">
        <f t="shared" si="1"/>
        <v>12</v>
      </c>
      <c r="AD5" s="66">
        <f t="shared" si="1"/>
        <v>19</v>
      </c>
      <c r="AE5" s="43">
        <f t="shared" si="1"/>
        <v>3</v>
      </c>
      <c r="AF5" s="40">
        <f t="shared" si="1"/>
        <v>8</v>
      </c>
      <c r="AG5" s="40">
        <f t="shared" si="1"/>
        <v>13</v>
      </c>
      <c r="AH5" s="66">
        <f t="shared" si="1"/>
        <v>18</v>
      </c>
      <c r="AI5" s="43">
        <f t="shared" si="1"/>
        <v>3</v>
      </c>
      <c r="AJ5" s="40">
        <f t="shared" si="1"/>
        <v>6</v>
      </c>
      <c r="AK5" s="40">
        <f t="shared" si="1"/>
        <v>14</v>
      </c>
      <c r="AL5" s="66">
        <f t="shared" si="1"/>
        <v>17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>MOD($A6-G$1*G$2,$B$2/4)+G$2*$B$2/4+1</f>
        <v>4</v>
      </c>
      <c r="H6" s="40">
        <f t="shared" si="0"/>
        <v>9</v>
      </c>
      <c r="I6" s="40">
        <f t="shared" si="0"/>
        <v>14</v>
      </c>
      <c r="J6" s="66">
        <f t="shared" si="0"/>
        <v>19</v>
      </c>
      <c r="K6" s="43">
        <f t="shared" si="0"/>
        <v>4</v>
      </c>
      <c r="L6" s="40">
        <f t="shared" si="0"/>
        <v>7</v>
      </c>
      <c r="M6" s="40">
        <f t="shared" si="0"/>
        <v>15</v>
      </c>
      <c r="N6" s="66">
        <f t="shared" si="0"/>
        <v>18</v>
      </c>
      <c r="O6" s="43">
        <f t="shared" si="0"/>
        <v>4</v>
      </c>
      <c r="P6" s="40">
        <f t="shared" si="0"/>
        <v>10</v>
      </c>
      <c r="Q6" s="40">
        <f t="shared" si="0"/>
        <v>11</v>
      </c>
      <c r="R6" s="66">
        <f t="shared" si="0"/>
        <v>17</v>
      </c>
      <c r="S6" s="43">
        <f t="shared" si="0"/>
        <v>4</v>
      </c>
      <c r="T6" s="40">
        <f t="shared" si="0"/>
        <v>8</v>
      </c>
      <c r="U6" s="40">
        <f t="shared" si="0"/>
        <v>12</v>
      </c>
      <c r="V6" s="66">
        <f t="shared" si="0"/>
        <v>16</v>
      </c>
      <c r="W6" s="43">
        <f t="shared" si="1"/>
        <v>4</v>
      </c>
      <c r="X6" s="40">
        <f t="shared" si="1"/>
        <v>8</v>
      </c>
      <c r="Y6" s="40">
        <f t="shared" si="1"/>
        <v>12</v>
      </c>
      <c r="Z6" s="66">
        <f t="shared" si="1"/>
        <v>16</v>
      </c>
      <c r="AA6" s="43">
        <f t="shared" si="1"/>
        <v>4</v>
      </c>
      <c r="AB6" s="40">
        <f t="shared" si="1"/>
        <v>6</v>
      </c>
      <c r="AC6" s="40">
        <f t="shared" si="1"/>
        <v>13</v>
      </c>
      <c r="AD6" s="66">
        <f t="shared" si="1"/>
        <v>20</v>
      </c>
      <c r="AE6" s="43">
        <f t="shared" si="1"/>
        <v>4</v>
      </c>
      <c r="AF6" s="40">
        <f t="shared" si="1"/>
        <v>9</v>
      </c>
      <c r="AG6" s="40">
        <f t="shared" si="1"/>
        <v>14</v>
      </c>
      <c r="AH6" s="66">
        <f t="shared" si="1"/>
        <v>19</v>
      </c>
      <c r="AI6" s="43">
        <f t="shared" si="1"/>
        <v>4</v>
      </c>
      <c r="AJ6" s="40">
        <f t="shared" si="1"/>
        <v>7</v>
      </c>
      <c r="AK6" s="40">
        <f t="shared" si="1"/>
        <v>15</v>
      </c>
      <c r="AL6" s="66">
        <f t="shared" si="1"/>
        <v>18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>MOD($A7-G$1*G$2,$B$2/4)+G$2*$B$2/4+1</f>
        <v>5</v>
      </c>
      <c r="H7" s="40">
        <f t="shared" si="0"/>
        <v>10</v>
      </c>
      <c r="I7" s="40">
        <f t="shared" si="0"/>
        <v>15</v>
      </c>
      <c r="J7" s="66">
        <f t="shared" si="0"/>
        <v>20</v>
      </c>
      <c r="K7" s="43">
        <f t="shared" si="0"/>
        <v>5</v>
      </c>
      <c r="L7" s="40">
        <f t="shared" si="0"/>
        <v>8</v>
      </c>
      <c r="M7" s="40">
        <f t="shared" si="0"/>
        <v>11</v>
      </c>
      <c r="N7" s="66">
        <f t="shared" si="0"/>
        <v>19</v>
      </c>
      <c r="O7" s="43">
        <f t="shared" si="0"/>
        <v>5</v>
      </c>
      <c r="P7" s="40">
        <f t="shared" si="0"/>
        <v>6</v>
      </c>
      <c r="Q7" s="40">
        <f t="shared" si="0"/>
        <v>12</v>
      </c>
      <c r="R7" s="66">
        <f t="shared" si="0"/>
        <v>18</v>
      </c>
      <c r="S7" s="43">
        <f t="shared" si="0"/>
        <v>5</v>
      </c>
      <c r="T7" s="40">
        <f t="shared" si="0"/>
        <v>9</v>
      </c>
      <c r="U7" s="40">
        <f t="shared" si="0"/>
        <v>13</v>
      </c>
      <c r="V7" s="66">
        <f t="shared" si="0"/>
        <v>17</v>
      </c>
      <c r="W7" s="43">
        <f t="shared" si="1"/>
        <v>5</v>
      </c>
      <c r="X7" s="40">
        <f t="shared" si="1"/>
        <v>9</v>
      </c>
      <c r="Y7" s="40">
        <f t="shared" si="1"/>
        <v>13</v>
      </c>
      <c r="Z7" s="66">
        <f t="shared" si="1"/>
        <v>17</v>
      </c>
      <c r="AA7" s="43">
        <f t="shared" si="1"/>
        <v>5</v>
      </c>
      <c r="AB7" s="40">
        <f t="shared" si="1"/>
        <v>7</v>
      </c>
      <c r="AC7" s="40">
        <f t="shared" si="1"/>
        <v>14</v>
      </c>
      <c r="AD7" s="66">
        <f t="shared" si="1"/>
        <v>16</v>
      </c>
      <c r="AE7" s="43">
        <f t="shared" si="1"/>
        <v>5</v>
      </c>
      <c r="AF7" s="40">
        <f t="shared" si="1"/>
        <v>10</v>
      </c>
      <c r="AG7" s="40">
        <f t="shared" si="1"/>
        <v>15</v>
      </c>
      <c r="AH7" s="66">
        <f t="shared" si="1"/>
        <v>20</v>
      </c>
      <c r="AI7" s="43">
        <f t="shared" si="1"/>
        <v>5</v>
      </c>
      <c r="AJ7" s="40">
        <f t="shared" si="1"/>
        <v>8</v>
      </c>
      <c r="AK7" s="40">
        <f t="shared" si="1"/>
        <v>11</v>
      </c>
      <c r="AL7" s="66">
        <f t="shared" si="1"/>
        <v>19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/>
      <c r="H8" s="40"/>
      <c r="I8" s="40"/>
      <c r="J8" s="66"/>
      <c r="K8" s="43"/>
      <c r="L8" s="40"/>
      <c r="M8" s="40"/>
      <c r="N8" s="66"/>
      <c r="O8" s="43"/>
      <c r="P8" s="40"/>
      <c r="Q8" s="40"/>
      <c r="R8" s="66"/>
      <c r="S8" s="43"/>
      <c r="T8" s="40"/>
      <c r="U8" s="40"/>
      <c r="V8" s="6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/>
      <c r="H9" s="40"/>
      <c r="I9" s="40"/>
      <c r="J9" s="66"/>
      <c r="K9" s="43"/>
      <c r="L9" s="40"/>
      <c r="M9" s="40"/>
      <c r="N9" s="66"/>
      <c r="O9" s="43"/>
      <c r="P9" s="40"/>
      <c r="Q9" s="40"/>
      <c r="R9" s="66"/>
      <c r="S9" s="43"/>
      <c r="T9" s="40"/>
      <c r="U9" s="40"/>
      <c r="V9" s="6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/>
      <c r="H10" s="40"/>
      <c r="I10" s="40"/>
      <c r="J10" s="66"/>
      <c r="K10" s="43"/>
      <c r="L10" s="40"/>
      <c r="M10" s="40"/>
      <c r="N10" s="66"/>
      <c r="O10" s="43"/>
      <c r="P10" s="40"/>
      <c r="Q10" s="40"/>
      <c r="R10" s="66"/>
      <c r="S10" s="43"/>
      <c r="T10" s="40"/>
      <c r="U10" s="40"/>
      <c r="V10" s="6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x14ac:dyDescent="0.35">
      <c r="A11" s="18">
        <v>8</v>
      </c>
      <c r="B11" s="19" t="s">
        <v>18</v>
      </c>
      <c r="G11" s="43"/>
      <c r="H11" s="40"/>
      <c r="I11" s="40"/>
      <c r="J11" s="66"/>
      <c r="K11" s="43"/>
      <c r="L11" s="40"/>
      <c r="M11" s="40"/>
      <c r="N11" s="66"/>
      <c r="O11" s="43"/>
      <c r="P11" s="40"/>
      <c r="Q11" s="40"/>
      <c r="R11" s="66"/>
      <c r="S11" s="43"/>
      <c r="T11" s="40"/>
      <c r="U11" s="40"/>
      <c r="V11" s="6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x14ac:dyDescent="0.35">
      <c r="A12" s="18">
        <v>9</v>
      </c>
      <c r="B12" s="19" t="s">
        <v>18</v>
      </c>
      <c r="G12" s="43"/>
      <c r="H12" s="40"/>
      <c r="I12" s="40"/>
      <c r="J12" s="66"/>
      <c r="K12" s="43"/>
      <c r="L12" s="40"/>
      <c r="M12" s="40"/>
      <c r="N12" s="66"/>
      <c r="O12" s="43"/>
      <c r="P12" s="40"/>
      <c r="Q12" s="40"/>
      <c r="R12" s="66"/>
      <c r="S12" s="43"/>
      <c r="T12" s="40"/>
      <c r="U12" s="40"/>
      <c r="V12" s="6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x14ac:dyDescent="0.35">
      <c r="A13" s="18">
        <v>10</v>
      </c>
      <c r="B13" s="19" t="s">
        <v>18</v>
      </c>
      <c r="G13" s="43"/>
      <c r="H13" s="40"/>
      <c r="I13" s="40"/>
      <c r="J13" s="66"/>
      <c r="K13" s="43"/>
      <c r="L13" s="40"/>
      <c r="M13" s="40"/>
      <c r="N13" s="66"/>
      <c r="O13" s="43"/>
      <c r="P13" s="40"/>
      <c r="Q13" s="40"/>
      <c r="R13" s="66"/>
      <c r="S13" s="43"/>
      <c r="T13" s="40"/>
      <c r="U13" s="40"/>
      <c r="V13" s="6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35">
      <c r="A14" s="18">
        <v>11</v>
      </c>
      <c r="B14" s="19" t="s">
        <v>18</v>
      </c>
      <c r="D14">
        <f>$B$2/$C$2-$E$2/2+1</f>
        <v>4</v>
      </c>
      <c r="E14">
        <f>$B$2/$C$2+$E$2/2</f>
        <v>7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9</v>
      </c>
      <c r="E15">
        <f>2*$B$2/$C$2+$E$2/2</f>
        <v>12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14</v>
      </c>
      <c r="E16">
        <f>3*$B$2/$C$2+$E$2/2</f>
        <v>17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18</v>
      </c>
      <c r="E17">
        <f>$B$2</f>
        <v>20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6.5</v>
      </c>
      <c r="E19">
        <f>ROUND($B$2/$C$2+$E$2/2+$B$2/8,0)</f>
        <v>10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11.5</v>
      </c>
      <c r="E20">
        <f>ROUND(2*$B$2/$C$2+$E$2/2+$B$2/8,0)</f>
        <v>15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16.5</v>
      </c>
      <c r="E21">
        <f>ROUND(3*$B$2/$C$2+$E$2/2+$B$2/8,0)</f>
        <v>20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18</v>
      </c>
      <c r="E22">
        <f>$B$2</f>
        <v>20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1.5</v>
      </c>
      <c r="E23">
        <f>ROUND($B$2/$C$2+$E$2/2-$B$2/8,0)</f>
        <v>5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69" priority="22" operator="between">
      <formula>$D$17</formula>
      <formula>$E$17</formula>
    </cfRule>
    <cfRule type="cellIs" dxfId="68" priority="23" operator="between">
      <formula>$D$16</formula>
      <formula>$E$16</formula>
    </cfRule>
    <cfRule type="cellIs" dxfId="67" priority="24" operator="between">
      <formula>$D$15</formula>
      <formula>$E$15</formula>
    </cfRule>
    <cfRule type="cellIs" dxfId="66" priority="25" operator="between">
      <formula>$D$14</formula>
      <formula>$E$14</formula>
    </cfRule>
  </conditionalFormatting>
  <conditionalFormatting sqref="W8:AL22">
    <cfRule type="cellIs" dxfId="65" priority="17" operator="between">
      <formula>$D$23</formula>
      <formula>$E$23</formula>
    </cfRule>
    <cfRule type="cellIs" dxfId="64" priority="18" operator="between">
      <formula>$D$22</formula>
      <formula>$E$22</formula>
    </cfRule>
    <cfRule type="cellIs" dxfId="63" priority="19" operator="between">
      <formula>$D$21</formula>
      <formula>$E$21</formula>
    </cfRule>
    <cfRule type="cellIs" dxfId="62" priority="20" operator="between">
      <formula>$D$20</formula>
      <formula>$E$20</formula>
    </cfRule>
    <cfRule type="cellIs" dxfId="61" priority="21" operator="between">
      <formula>$D$19</formula>
      <formula>$E$19</formula>
    </cfRule>
  </conditionalFormatting>
  <conditionalFormatting sqref="W3:Z7">
    <cfRule type="cellIs" dxfId="60" priority="13" operator="between">
      <formula>$D$17</formula>
      <formula>$E$17</formula>
    </cfRule>
    <cfRule type="cellIs" dxfId="59" priority="14" operator="between">
      <formula>$D$16</formula>
      <formula>$E$16</formula>
    </cfRule>
    <cfRule type="cellIs" dxfId="58" priority="15" operator="between">
      <formula>$D$15</formula>
      <formula>$E$15</formula>
    </cfRule>
    <cfRule type="cellIs" dxfId="57" priority="16" operator="between">
      <formula>$D$14</formula>
      <formula>$E$14</formula>
    </cfRule>
  </conditionalFormatting>
  <conditionalFormatting sqref="AA3:AD7">
    <cfRule type="cellIs" dxfId="56" priority="9" operator="between">
      <formula>$D$17</formula>
      <formula>$E$17</formula>
    </cfRule>
    <cfRule type="cellIs" dxfId="55" priority="10" operator="between">
      <formula>$D$16</formula>
      <formula>$E$16</formula>
    </cfRule>
    <cfRule type="cellIs" dxfId="54" priority="11" operator="between">
      <formula>$D$15</formula>
      <formula>$E$15</formula>
    </cfRule>
    <cfRule type="cellIs" dxfId="53" priority="12" operator="between">
      <formula>$D$14</formula>
      <formula>$E$14</formula>
    </cfRule>
  </conditionalFormatting>
  <conditionalFormatting sqref="AE3:AH7">
    <cfRule type="cellIs" dxfId="52" priority="5" operator="between">
      <formula>$D$17</formula>
      <formula>$E$17</formula>
    </cfRule>
    <cfRule type="cellIs" dxfId="51" priority="6" operator="between">
      <formula>$D$16</formula>
      <formula>$E$16</formula>
    </cfRule>
    <cfRule type="cellIs" dxfId="50" priority="7" operator="between">
      <formula>$D$15</formula>
      <formula>$E$15</formula>
    </cfRule>
    <cfRule type="cellIs" dxfId="49" priority="8" operator="between">
      <formula>$D$14</formula>
      <formula>$E$14</formula>
    </cfRule>
  </conditionalFormatting>
  <conditionalFormatting sqref="AI3:AL7">
    <cfRule type="cellIs" dxfId="48" priority="1" operator="between">
      <formula>$D$17</formula>
      <formula>$E$17</formula>
    </cfRule>
    <cfRule type="cellIs" dxfId="47" priority="2" operator="between">
      <formula>$D$16</formula>
      <formula>$E$16</formula>
    </cfRule>
    <cfRule type="cellIs" dxfId="46" priority="3" operator="between">
      <formula>$D$15</formula>
      <formula>$E$15</formula>
    </cfRule>
    <cfRule type="cellIs" dxfId="45" priority="4" operator="between">
      <formula>$D$14</formula>
      <formula>$E$14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6F7E-6565-46CB-B4BD-C1BC8AA86149}">
  <sheetPr>
    <pageSetUpPr fitToPage="1"/>
  </sheetPr>
  <dimension ref="A1:P13"/>
  <sheetViews>
    <sheetView tabSelected="1" zoomScaleNormal="100" zoomScalePageLayoutView="40" workbookViewId="0">
      <selection activeCell="E23" sqref="E23"/>
    </sheetView>
  </sheetViews>
  <sheetFormatPr defaultRowHeight="14.5" x14ac:dyDescent="0.35"/>
  <sheetData>
    <row r="1" spans="1:16" x14ac:dyDescent="0.35">
      <c r="A1" s="108" t="s">
        <v>35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5.25" customHeight="1" thickBot="1" x14ac:dyDescent="0.4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5" thickBot="1" x14ac:dyDescent="0.4">
      <c r="A3" s="102" t="s">
        <v>30</v>
      </c>
      <c r="B3" s="103"/>
      <c r="C3" s="103"/>
      <c r="D3" s="104"/>
      <c r="E3" s="105" t="s">
        <v>31</v>
      </c>
      <c r="F3" s="106"/>
      <c r="G3" s="106"/>
      <c r="H3" s="107"/>
      <c r="I3" s="102" t="s">
        <v>32</v>
      </c>
      <c r="J3" s="103"/>
      <c r="K3" s="103"/>
      <c r="L3" s="104"/>
      <c r="M3" s="105" t="s">
        <v>33</v>
      </c>
      <c r="N3" s="106"/>
      <c r="O3" s="106"/>
      <c r="P3" s="107"/>
    </row>
    <row r="4" spans="1:16" x14ac:dyDescent="0.35">
      <c r="A4" s="81">
        <v>1</v>
      </c>
      <c r="B4" s="58">
        <v>4</v>
      </c>
      <c r="C4" s="58">
        <v>7</v>
      </c>
      <c r="D4" s="59">
        <v>10</v>
      </c>
      <c r="E4" s="57">
        <v>1</v>
      </c>
      <c r="F4" s="58">
        <v>5</v>
      </c>
      <c r="G4" s="86">
        <v>9</v>
      </c>
      <c r="H4" s="59">
        <v>10</v>
      </c>
      <c r="I4" s="57">
        <v>1</v>
      </c>
      <c r="J4" s="58">
        <v>6</v>
      </c>
      <c r="K4" s="58">
        <v>8</v>
      </c>
      <c r="L4" s="90">
        <v>10</v>
      </c>
      <c r="M4" s="57">
        <v>1</v>
      </c>
      <c r="N4" s="86">
        <v>4</v>
      </c>
      <c r="O4" s="58">
        <v>7</v>
      </c>
      <c r="P4" s="59">
        <v>10</v>
      </c>
    </row>
    <row r="5" spans="1:16" x14ac:dyDescent="0.35">
      <c r="A5" s="82">
        <v>2</v>
      </c>
      <c r="B5" s="55">
        <v>5</v>
      </c>
      <c r="C5" s="55">
        <v>8</v>
      </c>
      <c r="D5" s="56">
        <v>11</v>
      </c>
      <c r="E5" s="75">
        <v>2</v>
      </c>
      <c r="F5" s="76">
        <v>6</v>
      </c>
      <c r="G5" s="87">
        <v>7</v>
      </c>
      <c r="H5" s="77">
        <v>11</v>
      </c>
      <c r="I5" s="49">
        <v>2</v>
      </c>
      <c r="J5" s="50">
        <v>4</v>
      </c>
      <c r="K5" s="50">
        <v>9</v>
      </c>
      <c r="L5" s="91">
        <v>11</v>
      </c>
      <c r="M5" s="75">
        <v>2</v>
      </c>
      <c r="N5" s="87">
        <v>5</v>
      </c>
      <c r="O5" s="76">
        <v>8</v>
      </c>
      <c r="P5" s="77">
        <v>11</v>
      </c>
    </row>
    <row r="6" spans="1:16" x14ac:dyDescent="0.35">
      <c r="A6" s="83">
        <v>3</v>
      </c>
      <c r="B6" s="61">
        <v>6</v>
      </c>
      <c r="C6" s="61">
        <v>9</v>
      </c>
      <c r="D6" s="62">
        <v>12</v>
      </c>
      <c r="E6" s="60">
        <v>3</v>
      </c>
      <c r="F6" s="61">
        <v>4</v>
      </c>
      <c r="G6" s="88">
        <v>8</v>
      </c>
      <c r="H6" s="62">
        <v>12</v>
      </c>
      <c r="I6" s="60">
        <v>3</v>
      </c>
      <c r="J6" s="61">
        <v>5</v>
      </c>
      <c r="K6" s="61">
        <v>7</v>
      </c>
      <c r="L6" s="92">
        <v>12</v>
      </c>
      <c r="M6" s="60">
        <v>3</v>
      </c>
      <c r="N6" s="88">
        <v>6</v>
      </c>
      <c r="O6" s="61">
        <v>9</v>
      </c>
      <c r="P6" s="62">
        <v>12</v>
      </c>
    </row>
    <row r="7" spans="1:16" ht="15" thickBot="1" x14ac:dyDescent="0.4"/>
    <row r="8" spans="1:16" x14ac:dyDescent="0.35">
      <c r="A8" s="108" t="s">
        <v>34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10"/>
    </row>
    <row r="9" spans="1:16" ht="5.25" customHeight="1" thickBot="1" x14ac:dyDescent="0.4">
      <c r="A9" s="111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3"/>
    </row>
    <row r="10" spans="1:16" ht="15" thickBot="1" x14ac:dyDescent="0.4">
      <c r="A10" s="102" t="s">
        <v>30</v>
      </c>
      <c r="B10" s="103"/>
      <c r="C10" s="103"/>
      <c r="D10" s="104"/>
      <c r="E10" s="105" t="s">
        <v>31</v>
      </c>
      <c r="F10" s="106"/>
      <c r="G10" s="106"/>
      <c r="H10" s="107"/>
      <c r="I10" s="102" t="s">
        <v>32</v>
      </c>
      <c r="J10" s="103"/>
      <c r="K10" s="103"/>
      <c r="L10" s="104"/>
      <c r="M10" s="105" t="s">
        <v>33</v>
      </c>
      <c r="N10" s="106"/>
      <c r="O10" s="106"/>
      <c r="P10" s="107"/>
    </row>
    <row r="11" spans="1:16" x14ac:dyDescent="0.35">
      <c r="A11" s="57">
        <v>1</v>
      </c>
      <c r="B11" s="86">
        <v>6</v>
      </c>
      <c r="C11" s="58">
        <v>8</v>
      </c>
      <c r="D11" s="59">
        <v>10</v>
      </c>
      <c r="E11" s="57">
        <v>1</v>
      </c>
      <c r="F11" s="58">
        <v>4</v>
      </c>
      <c r="G11" s="58">
        <v>7</v>
      </c>
      <c r="H11" s="90">
        <v>10</v>
      </c>
      <c r="I11" s="57">
        <v>1</v>
      </c>
      <c r="J11" s="58">
        <v>5</v>
      </c>
      <c r="K11" s="86">
        <v>9</v>
      </c>
      <c r="L11" s="59">
        <v>10</v>
      </c>
      <c r="M11" s="81">
        <v>1</v>
      </c>
      <c r="N11" s="58">
        <v>6</v>
      </c>
      <c r="O11" s="58">
        <v>8</v>
      </c>
      <c r="P11" s="59">
        <v>10</v>
      </c>
    </row>
    <row r="12" spans="1:16" x14ac:dyDescent="0.35">
      <c r="A12" s="94">
        <v>2</v>
      </c>
      <c r="B12" s="95">
        <v>4</v>
      </c>
      <c r="C12" s="55">
        <v>9</v>
      </c>
      <c r="D12" s="56">
        <v>11</v>
      </c>
      <c r="E12" s="75">
        <v>2</v>
      </c>
      <c r="F12" s="76">
        <v>5</v>
      </c>
      <c r="G12" s="76">
        <v>8</v>
      </c>
      <c r="H12" s="98">
        <v>11</v>
      </c>
      <c r="I12" s="49">
        <v>2</v>
      </c>
      <c r="J12" s="50">
        <v>6</v>
      </c>
      <c r="K12" s="96">
        <v>7</v>
      </c>
      <c r="L12" s="51">
        <v>11</v>
      </c>
      <c r="M12" s="100">
        <v>2</v>
      </c>
      <c r="N12" s="76">
        <v>4</v>
      </c>
      <c r="O12" s="76">
        <v>9</v>
      </c>
      <c r="P12" s="77">
        <v>11</v>
      </c>
    </row>
    <row r="13" spans="1:16" x14ac:dyDescent="0.35">
      <c r="A13" s="60">
        <v>3</v>
      </c>
      <c r="B13" s="88">
        <v>5</v>
      </c>
      <c r="C13" s="61">
        <v>7</v>
      </c>
      <c r="D13" s="62">
        <v>12</v>
      </c>
      <c r="E13" s="60">
        <v>3</v>
      </c>
      <c r="F13" s="61">
        <v>6</v>
      </c>
      <c r="G13" s="61">
        <v>9</v>
      </c>
      <c r="H13" s="92">
        <v>12</v>
      </c>
      <c r="I13" s="60">
        <v>3</v>
      </c>
      <c r="J13" s="61">
        <v>4</v>
      </c>
      <c r="K13" s="88">
        <v>8</v>
      </c>
      <c r="L13" s="62">
        <v>12</v>
      </c>
      <c r="M13" s="83">
        <v>3</v>
      </c>
      <c r="N13" s="61">
        <v>5</v>
      </c>
      <c r="O13" s="61">
        <v>7</v>
      </c>
      <c r="P13" s="62">
        <v>12</v>
      </c>
    </row>
  </sheetData>
  <mergeCells count="10">
    <mergeCell ref="A10:D10"/>
    <mergeCell ref="E10:H10"/>
    <mergeCell ref="I10:L10"/>
    <mergeCell ref="M10:P10"/>
    <mergeCell ref="A1:P2"/>
    <mergeCell ref="A3:D3"/>
    <mergeCell ref="E3:H3"/>
    <mergeCell ref="I3:L3"/>
    <mergeCell ref="M3:P3"/>
    <mergeCell ref="A8:P9"/>
  </mergeCells>
  <printOptions horizontalCentered="1" verticalCentered="1"/>
  <pageMargins left="0.27559055118110237" right="0.27559055118110237" top="0.43307086614173229" bottom="0.27559055118110237" header="0.19685039370078741" footer="0.31496062992125984"/>
  <pageSetup paperSize="9" scale="97" orientation="landscape" r:id="rId1"/>
  <headerFooter>
    <oddHeader>&amp;C&amp;"-,Tučné"&amp;16&amp;A hráčů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6CB0-F0E4-4A83-A5F5-BCF7EF77B9D6}">
  <dimension ref="A1:AL82"/>
  <sheetViews>
    <sheetView topLeftCell="M1" workbookViewId="0">
      <selection activeCell="W3" sqref="W3:AL5"/>
    </sheetView>
  </sheetViews>
  <sheetFormatPr defaultRowHeight="14.5" x14ac:dyDescent="0.35"/>
  <cols>
    <col min="2" max="2" width="19" customWidth="1"/>
    <col min="4" max="4" width="8.453125" customWidth="1"/>
    <col min="7" max="7" width="8.7265625" style="5"/>
  </cols>
  <sheetData>
    <row r="1" spans="1:38" x14ac:dyDescent="0.35">
      <c r="B1">
        <f>IF(FLOOR(1*$B$2/32,1)&lt;1,1,FLOOR(1*$B$2/32,1))</f>
        <v>1</v>
      </c>
      <c r="C1">
        <f>FLOOR(2*$B$2/32,1)</f>
        <v>0</v>
      </c>
      <c r="D1">
        <f>FLOOR(3*$B$2/32,1)</f>
        <v>1</v>
      </c>
      <c r="G1" s="6">
        <v>0</v>
      </c>
      <c r="H1" s="7">
        <v>0</v>
      </c>
      <c r="I1" s="7">
        <v>0</v>
      </c>
      <c r="J1" s="7">
        <v>0</v>
      </c>
      <c r="K1">
        <v>2</v>
      </c>
      <c r="L1">
        <v>2</v>
      </c>
      <c r="M1">
        <v>2</v>
      </c>
      <c r="N1">
        <v>2</v>
      </c>
      <c r="O1" s="8">
        <v>4</v>
      </c>
      <c r="P1" s="9">
        <v>4</v>
      </c>
      <c r="Q1" s="9">
        <v>4</v>
      </c>
      <c r="R1" s="10">
        <v>4</v>
      </c>
      <c r="S1">
        <v>6</v>
      </c>
      <c r="T1">
        <v>6</v>
      </c>
      <c r="U1">
        <v>6</v>
      </c>
      <c r="V1">
        <v>6</v>
      </c>
      <c r="W1" s="8">
        <v>1</v>
      </c>
      <c r="X1" s="9">
        <v>1</v>
      </c>
      <c r="Y1" s="9">
        <v>1</v>
      </c>
      <c r="Z1" s="10">
        <v>1</v>
      </c>
      <c r="AA1">
        <v>3</v>
      </c>
      <c r="AB1">
        <v>3</v>
      </c>
      <c r="AC1">
        <v>3</v>
      </c>
      <c r="AD1">
        <v>3</v>
      </c>
      <c r="AE1" s="8">
        <v>5</v>
      </c>
      <c r="AF1" s="9">
        <v>5</v>
      </c>
      <c r="AG1" s="9">
        <v>5</v>
      </c>
      <c r="AH1" s="10">
        <v>5</v>
      </c>
      <c r="AI1">
        <v>7</v>
      </c>
      <c r="AJ1">
        <v>7</v>
      </c>
      <c r="AK1">
        <v>7</v>
      </c>
      <c r="AL1">
        <v>7</v>
      </c>
    </row>
    <row r="2" spans="1:38" ht="15" thickBot="1" x14ac:dyDescent="0.4">
      <c r="A2">
        <f>CEILING(COUNTA(B3:B83)/4,1)*4</f>
        <v>80</v>
      </c>
      <c r="B2">
        <v>12</v>
      </c>
      <c r="C2">
        <v>4</v>
      </c>
      <c r="D2">
        <v>8</v>
      </c>
      <c r="E2">
        <v>4</v>
      </c>
      <c r="G2" s="5">
        <v>0</v>
      </c>
      <c r="H2">
        <v>1</v>
      </c>
      <c r="I2">
        <v>2</v>
      </c>
      <c r="J2">
        <v>3</v>
      </c>
      <c r="K2" s="5">
        <v>0</v>
      </c>
      <c r="L2">
        <v>1</v>
      </c>
      <c r="M2">
        <v>2</v>
      </c>
      <c r="N2">
        <v>3</v>
      </c>
      <c r="O2" s="11">
        <v>0</v>
      </c>
      <c r="P2">
        <v>1</v>
      </c>
      <c r="Q2">
        <v>2</v>
      </c>
      <c r="R2" s="12">
        <v>3</v>
      </c>
      <c r="S2">
        <v>0</v>
      </c>
      <c r="T2">
        <v>1</v>
      </c>
      <c r="U2">
        <v>2</v>
      </c>
      <c r="V2">
        <v>3</v>
      </c>
      <c r="W2" s="11">
        <v>0</v>
      </c>
      <c r="X2">
        <v>1</v>
      </c>
      <c r="Y2">
        <v>2</v>
      </c>
      <c r="Z2" s="12">
        <v>3</v>
      </c>
      <c r="AA2">
        <v>0</v>
      </c>
      <c r="AB2">
        <v>1</v>
      </c>
      <c r="AC2">
        <v>2</v>
      </c>
      <c r="AD2">
        <v>3</v>
      </c>
      <c r="AE2" s="11">
        <v>0</v>
      </c>
      <c r="AF2">
        <v>1</v>
      </c>
      <c r="AG2">
        <v>2</v>
      </c>
      <c r="AH2" s="12">
        <v>3</v>
      </c>
      <c r="AI2">
        <v>0</v>
      </c>
      <c r="AJ2">
        <v>1</v>
      </c>
      <c r="AK2">
        <v>2</v>
      </c>
      <c r="AL2">
        <v>3</v>
      </c>
    </row>
    <row r="3" spans="1:38" x14ac:dyDescent="0.35">
      <c r="A3" s="20">
        <v>0</v>
      </c>
      <c r="B3" s="21" t="s">
        <v>17</v>
      </c>
      <c r="C3">
        <f>A4</f>
        <v>1</v>
      </c>
      <c r="D3">
        <v>9</v>
      </c>
      <c r="E3">
        <v>17</v>
      </c>
      <c r="F3">
        <v>25</v>
      </c>
      <c r="G3" s="63">
        <f>MOD($A3-G$1*G$2,$B$2/4)+G$2*$B$2/4+1</f>
        <v>1</v>
      </c>
      <c r="H3" s="64">
        <f t="shared" ref="H3:W7" si="0">MOD($A3-H$1*H$2,$B$2/4)+H$2*$B$2/4+1</f>
        <v>4</v>
      </c>
      <c r="I3" s="64">
        <f t="shared" si="0"/>
        <v>7</v>
      </c>
      <c r="J3" s="65">
        <f t="shared" si="0"/>
        <v>10</v>
      </c>
      <c r="K3" s="63">
        <f t="shared" si="0"/>
        <v>1</v>
      </c>
      <c r="L3" s="64">
        <f t="shared" si="0"/>
        <v>5</v>
      </c>
      <c r="M3" s="64">
        <f t="shared" si="0"/>
        <v>9</v>
      </c>
      <c r="N3" s="65">
        <f t="shared" si="0"/>
        <v>10</v>
      </c>
      <c r="O3" s="63">
        <f t="shared" si="0"/>
        <v>1</v>
      </c>
      <c r="P3" s="64">
        <f t="shared" si="0"/>
        <v>6</v>
      </c>
      <c r="Q3" s="64">
        <f t="shared" si="0"/>
        <v>8</v>
      </c>
      <c r="R3" s="65">
        <f t="shared" si="0"/>
        <v>10</v>
      </c>
      <c r="S3" s="63">
        <f t="shared" si="0"/>
        <v>1</v>
      </c>
      <c r="T3" s="64">
        <f t="shared" si="0"/>
        <v>4</v>
      </c>
      <c r="U3" s="64">
        <f t="shared" si="0"/>
        <v>7</v>
      </c>
      <c r="V3" s="65">
        <f t="shared" si="0"/>
        <v>10</v>
      </c>
      <c r="W3" s="63">
        <f t="shared" si="0"/>
        <v>1</v>
      </c>
      <c r="X3" s="64">
        <f t="shared" ref="X3:AM7" si="1">MOD($A3-X$1*X$2,$B$2/4)+X$2*$B$2/4+1</f>
        <v>6</v>
      </c>
      <c r="Y3" s="64">
        <f t="shared" si="1"/>
        <v>8</v>
      </c>
      <c r="Z3" s="65">
        <f t="shared" si="1"/>
        <v>10</v>
      </c>
      <c r="AA3" s="63">
        <f t="shared" si="1"/>
        <v>1</v>
      </c>
      <c r="AB3" s="64">
        <f t="shared" si="1"/>
        <v>4</v>
      </c>
      <c r="AC3" s="64">
        <f t="shared" si="1"/>
        <v>7</v>
      </c>
      <c r="AD3" s="65">
        <f t="shared" si="1"/>
        <v>10</v>
      </c>
      <c r="AE3" s="63">
        <f t="shared" si="1"/>
        <v>1</v>
      </c>
      <c r="AF3" s="64">
        <f t="shared" si="1"/>
        <v>5</v>
      </c>
      <c r="AG3" s="64">
        <f t="shared" si="1"/>
        <v>9</v>
      </c>
      <c r="AH3" s="65">
        <f t="shared" si="1"/>
        <v>10</v>
      </c>
      <c r="AI3" s="63">
        <f t="shared" si="1"/>
        <v>1</v>
      </c>
      <c r="AJ3" s="64">
        <f t="shared" si="1"/>
        <v>6</v>
      </c>
      <c r="AK3" s="64">
        <f t="shared" si="1"/>
        <v>8</v>
      </c>
      <c r="AL3" s="65">
        <f t="shared" si="1"/>
        <v>10</v>
      </c>
    </row>
    <row r="4" spans="1:38" x14ac:dyDescent="0.35">
      <c r="A4" s="20">
        <v>1</v>
      </c>
      <c r="B4" s="21" t="s">
        <v>17</v>
      </c>
      <c r="C4">
        <v>2</v>
      </c>
      <c r="D4">
        <v>10</v>
      </c>
      <c r="E4">
        <v>18</v>
      </c>
      <c r="F4">
        <v>26</v>
      </c>
      <c r="G4" s="43">
        <f>MOD($A4-G$1*G$2,$B$2/4)+G$2*$B$2/4+1</f>
        <v>2</v>
      </c>
      <c r="H4" s="40">
        <f t="shared" si="0"/>
        <v>5</v>
      </c>
      <c r="I4" s="40">
        <f t="shared" si="0"/>
        <v>8</v>
      </c>
      <c r="J4" s="66">
        <f t="shared" si="0"/>
        <v>11</v>
      </c>
      <c r="K4" s="43">
        <f t="shared" si="0"/>
        <v>2</v>
      </c>
      <c r="L4" s="40">
        <f t="shared" si="0"/>
        <v>6</v>
      </c>
      <c r="M4" s="40">
        <f t="shared" si="0"/>
        <v>7</v>
      </c>
      <c r="N4" s="66">
        <f t="shared" si="0"/>
        <v>11</v>
      </c>
      <c r="O4" s="43">
        <f t="shared" si="0"/>
        <v>2</v>
      </c>
      <c r="P4" s="40">
        <f t="shared" si="0"/>
        <v>4</v>
      </c>
      <c r="Q4" s="40">
        <f t="shared" si="0"/>
        <v>9</v>
      </c>
      <c r="R4" s="66">
        <f t="shared" si="0"/>
        <v>11</v>
      </c>
      <c r="S4" s="43">
        <f t="shared" si="0"/>
        <v>2</v>
      </c>
      <c r="T4" s="40">
        <f t="shared" si="0"/>
        <v>5</v>
      </c>
      <c r="U4" s="40">
        <f t="shared" si="0"/>
        <v>8</v>
      </c>
      <c r="V4" s="66">
        <f t="shared" si="0"/>
        <v>11</v>
      </c>
      <c r="W4" s="43">
        <f t="shared" si="0"/>
        <v>2</v>
      </c>
      <c r="X4" s="40">
        <f t="shared" si="1"/>
        <v>4</v>
      </c>
      <c r="Y4" s="40">
        <f t="shared" si="1"/>
        <v>9</v>
      </c>
      <c r="Z4" s="66">
        <f t="shared" si="1"/>
        <v>11</v>
      </c>
      <c r="AA4" s="43">
        <f t="shared" si="1"/>
        <v>2</v>
      </c>
      <c r="AB4" s="40">
        <f t="shared" si="1"/>
        <v>5</v>
      </c>
      <c r="AC4" s="40">
        <f t="shared" si="1"/>
        <v>8</v>
      </c>
      <c r="AD4" s="66">
        <f t="shared" si="1"/>
        <v>11</v>
      </c>
      <c r="AE4" s="43">
        <f t="shared" si="1"/>
        <v>2</v>
      </c>
      <c r="AF4" s="40">
        <f t="shared" si="1"/>
        <v>6</v>
      </c>
      <c r="AG4" s="40">
        <f t="shared" si="1"/>
        <v>7</v>
      </c>
      <c r="AH4" s="66">
        <f t="shared" si="1"/>
        <v>11</v>
      </c>
      <c r="AI4" s="43">
        <f t="shared" si="1"/>
        <v>2</v>
      </c>
      <c r="AJ4" s="40">
        <f t="shared" si="1"/>
        <v>4</v>
      </c>
      <c r="AK4" s="40">
        <f t="shared" si="1"/>
        <v>9</v>
      </c>
      <c r="AL4" s="66">
        <f t="shared" si="1"/>
        <v>11</v>
      </c>
    </row>
    <row r="5" spans="1:38" x14ac:dyDescent="0.35">
      <c r="A5" s="20">
        <v>2</v>
      </c>
      <c r="B5" s="21" t="s">
        <v>17</v>
      </c>
      <c r="C5">
        <f>A6</f>
        <v>3</v>
      </c>
      <c r="D5">
        <v>11</v>
      </c>
      <c r="E5">
        <v>19</v>
      </c>
      <c r="F5">
        <v>27</v>
      </c>
      <c r="G5" s="43">
        <f>MOD($A5-G$1*G$2,$B$2/4)+G$2*$B$2/4+1</f>
        <v>3</v>
      </c>
      <c r="H5" s="40">
        <f t="shared" si="0"/>
        <v>6</v>
      </c>
      <c r="I5" s="40">
        <f t="shared" si="0"/>
        <v>9</v>
      </c>
      <c r="J5" s="66">
        <f t="shared" si="0"/>
        <v>12</v>
      </c>
      <c r="K5" s="43">
        <f t="shared" si="0"/>
        <v>3</v>
      </c>
      <c r="L5" s="40">
        <f t="shared" si="0"/>
        <v>4</v>
      </c>
      <c r="M5" s="40">
        <f t="shared" si="0"/>
        <v>8</v>
      </c>
      <c r="N5" s="66">
        <f t="shared" si="0"/>
        <v>12</v>
      </c>
      <c r="O5" s="43">
        <f t="shared" si="0"/>
        <v>3</v>
      </c>
      <c r="P5" s="40">
        <f t="shared" si="0"/>
        <v>5</v>
      </c>
      <c r="Q5" s="40">
        <f t="shared" si="0"/>
        <v>7</v>
      </c>
      <c r="R5" s="66">
        <f t="shared" si="0"/>
        <v>12</v>
      </c>
      <c r="S5" s="43">
        <f t="shared" si="0"/>
        <v>3</v>
      </c>
      <c r="T5" s="40">
        <f t="shared" si="0"/>
        <v>6</v>
      </c>
      <c r="U5" s="40">
        <f t="shared" si="0"/>
        <v>9</v>
      </c>
      <c r="V5" s="66">
        <f t="shared" si="0"/>
        <v>12</v>
      </c>
      <c r="W5" s="43">
        <f t="shared" si="0"/>
        <v>3</v>
      </c>
      <c r="X5" s="40">
        <f t="shared" si="1"/>
        <v>5</v>
      </c>
      <c r="Y5" s="40">
        <f t="shared" si="1"/>
        <v>7</v>
      </c>
      <c r="Z5" s="66">
        <f t="shared" si="1"/>
        <v>12</v>
      </c>
      <c r="AA5" s="43">
        <f t="shared" si="1"/>
        <v>3</v>
      </c>
      <c r="AB5" s="40">
        <f t="shared" si="1"/>
        <v>6</v>
      </c>
      <c r="AC5" s="40">
        <f t="shared" si="1"/>
        <v>9</v>
      </c>
      <c r="AD5" s="66">
        <f t="shared" si="1"/>
        <v>12</v>
      </c>
      <c r="AE5" s="43">
        <f t="shared" si="1"/>
        <v>3</v>
      </c>
      <c r="AF5" s="40">
        <f t="shared" si="1"/>
        <v>4</v>
      </c>
      <c r="AG5" s="40">
        <f t="shared" si="1"/>
        <v>8</v>
      </c>
      <c r="AH5" s="66">
        <f t="shared" si="1"/>
        <v>12</v>
      </c>
      <c r="AI5" s="43">
        <f t="shared" si="1"/>
        <v>3</v>
      </c>
      <c r="AJ5" s="40">
        <f t="shared" si="1"/>
        <v>5</v>
      </c>
      <c r="AK5" s="40">
        <f t="shared" si="1"/>
        <v>7</v>
      </c>
      <c r="AL5" s="66">
        <f t="shared" si="1"/>
        <v>12</v>
      </c>
    </row>
    <row r="6" spans="1:38" x14ac:dyDescent="0.35">
      <c r="A6" s="20">
        <v>3</v>
      </c>
      <c r="B6" s="21" t="s">
        <v>17</v>
      </c>
      <c r="C6">
        <v>4</v>
      </c>
      <c r="D6">
        <v>12</v>
      </c>
      <c r="E6">
        <v>20</v>
      </c>
      <c r="F6">
        <v>28</v>
      </c>
      <c r="G6" s="43">
        <f>MOD($A6-G$1*G$2,$B$2/4)+G$2*$B$2/4+1</f>
        <v>1</v>
      </c>
      <c r="H6" s="40">
        <f t="shared" si="0"/>
        <v>4</v>
      </c>
      <c r="I6" s="40">
        <f t="shared" si="0"/>
        <v>7</v>
      </c>
      <c r="J6" s="66">
        <f t="shared" si="0"/>
        <v>10</v>
      </c>
      <c r="K6" s="43">
        <f t="shared" si="0"/>
        <v>1</v>
      </c>
      <c r="L6" s="40">
        <f t="shared" si="0"/>
        <v>5</v>
      </c>
      <c r="M6" s="40">
        <f t="shared" si="0"/>
        <v>9</v>
      </c>
      <c r="N6" s="66">
        <f t="shared" si="0"/>
        <v>10</v>
      </c>
      <c r="O6" s="43">
        <f t="shared" si="0"/>
        <v>1</v>
      </c>
      <c r="P6" s="40">
        <f t="shared" si="0"/>
        <v>6</v>
      </c>
      <c r="Q6" s="40">
        <f t="shared" si="0"/>
        <v>8</v>
      </c>
      <c r="R6" s="66">
        <f t="shared" si="0"/>
        <v>10</v>
      </c>
      <c r="S6" s="43">
        <f t="shared" si="0"/>
        <v>1</v>
      </c>
      <c r="T6" s="40">
        <f t="shared" si="0"/>
        <v>4</v>
      </c>
      <c r="U6" s="40">
        <f t="shared" si="0"/>
        <v>7</v>
      </c>
      <c r="V6" s="66">
        <f t="shared" si="0"/>
        <v>10</v>
      </c>
      <c r="W6" s="43">
        <f t="shared" si="0"/>
        <v>1</v>
      </c>
      <c r="X6" s="40">
        <f t="shared" si="1"/>
        <v>6</v>
      </c>
      <c r="Y6" s="40">
        <f t="shared" si="1"/>
        <v>8</v>
      </c>
      <c r="Z6" s="66">
        <f t="shared" si="1"/>
        <v>10</v>
      </c>
      <c r="AA6" s="43">
        <f t="shared" si="1"/>
        <v>1</v>
      </c>
      <c r="AB6" s="40">
        <f t="shared" si="1"/>
        <v>4</v>
      </c>
      <c r="AC6" s="40">
        <f t="shared" si="1"/>
        <v>7</v>
      </c>
      <c r="AD6" s="66">
        <f t="shared" si="1"/>
        <v>10</v>
      </c>
      <c r="AE6" s="43">
        <f t="shared" si="1"/>
        <v>1</v>
      </c>
      <c r="AF6" s="40">
        <f t="shared" si="1"/>
        <v>5</v>
      </c>
      <c r="AG6" s="40">
        <f t="shared" si="1"/>
        <v>9</v>
      </c>
      <c r="AH6" s="66">
        <f t="shared" si="1"/>
        <v>10</v>
      </c>
      <c r="AI6" s="43">
        <f t="shared" si="1"/>
        <v>1</v>
      </c>
      <c r="AJ6" s="40">
        <f t="shared" si="1"/>
        <v>6</v>
      </c>
      <c r="AK6" s="40">
        <f t="shared" si="1"/>
        <v>8</v>
      </c>
      <c r="AL6" s="66">
        <f t="shared" si="1"/>
        <v>10</v>
      </c>
    </row>
    <row r="7" spans="1:38" x14ac:dyDescent="0.35">
      <c r="A7" s="20">
        <v>4</v>
      </c>
      <c r="B7" s="21" t="s">
        <v>17</v>
      </c>
      <c r="C7">
        <f>A8</f>
        <v>5</v>
      </c>
      <c r="D7">
        <v>13</v>
      </c>
      <c r="E7">
        <v>21</v>
      </c>
      <c r="F7">
        <v>29</v>
      </c>
      <c r="G7" s="43">
        <f>MOD($A7-G$1*G$2,$B$2/4)+G$2*$B$2/4+1</f>
        <v>2</v>
      </c>
      <c r="H7" s="40">
        <f t="shared" si="0"/>
        <v>5</v>
      </c>
      <c r="I7" s="40">
        <f t="shared" si="0"/>
        <v>8</v>
      </c>
      <c r="J7" s="66">
        <f t="shared" si="0"/>
        <v>11</v>
      </c>
      <c r="K7" s="43">
        <f t="shared" si="0"/>
        <v>2</v>
      </c>
      <c r="L7" s="40">
        <f t="shared" si="0"/>
        <v>6</v>
      </c>
      <c r="M7" s="40">
        <f t="shared" si="0"/>
        <v>7</v>
      </c>
      <c r="N7" s="66">
        <f t="shared" si="0"/>
        <v>11</v>
      </c>
      <c r="O7" s="43">
        <f t="shared" si="0"/>
        <v>2</v>
      </c>
      <c r="P7" s="40">
        <f t="shared" si="0"/>
        <v>4</v>
      </c>
      <c r="Q7" s="40">
        <f t="shared" si="0"/>
        <v>9</v>
      </c>
      <c r="R7" s="66">
        <f t="shared" si="0"/>
        <v>11</v>
      </c>
      <c r="S7" s="43">
        <f t="shared" si="0"/>
        <v>2</v>
      </c>
      <c r="T7" s="40">
        <f t="shared" si="0"/>
        <v>5</v>
      </c>
      <c r="U7" s="40">
        <f t="shared" si="0"/>
        <v>8</v>
      </c>
      <c r="V7" s="66">
        <f t="shared" si="0"/>
        <v>11</v>
      </c>
      <c r="W7" s="43">
        <f t="shared" si="0"/>
        <v>2</v>
      </c>
      <c r="X7" s="40">
        <f t="shared" si="1"/>
        <v>4</v>
      </c>
      <c r="Y7" s="40">
        <f t="shared" si="1"/>
        <v>9</v>
      </c>
      <c r="Z7" s="66">
        <f t="shared" si="1"/>
        <v>11</v>
      </c>
      <c r="AA7" s="43">
        <f t="shared" si="1"/>
        <v>2</v>
      </c>
      <c r="AB7" s="40">
        <f t="shared" si="1"/>
        <v>5</v>
      </c>
      <c r="AC7" s="40">
        <f t="shared" si="1"/>
        <v>8</v>
      </c>
      <c r="AD7" s="66">
        <f t="shared" si="1"/>
        <v>11</v>
      </c>
      <c r="AE7" s="43">
        <f t="shared" si="1"/>
        <v>2</v>
      </c>
      <c r="AF7" s="40">
        <f t="shared" si="1"/>
        <v>6</v>
      </c>
      <c r="AG7" s="40">
        <f t="shared" si="1"/>
        <v>7</v>
      </c>
      <c r="AH7" s="66">
        <f t="shared" si="1"/>
        <v>11</v>
      </c>
      <c r="AI7" s="43">
        <f t="shared" si="1"/>
        <v>2</v>
      </c>
      <c r="AJ7" s="40">
        <f t="shared" si="1"/>
        <v>4</v>
      </c>
      <c r="AK7" s="40">
        <f t="shared" si="1"/>
        <v>9</v>
      </c>
      <c r="AL7" s="66">
        <f t="shared" si="1"/>
        <v>11</v>
      </c>
    </row>
    <row r="8" spans="1:38" x14ac:dyDescent="0.35">
      <c r="A8" s="18">
        <v>5</v>
      </c>
      <c r="B8" s="19" t="s">
        <v>18</v>
      </c>
      <c r="C8">
        <v>6</v>
      </c>
      <c r="D8">
        <v>14</v>
      </c>
      <c r="E8">
        <v>22</v>
      </c>
      <c r="F8">
        <v>30</v>
      </c>
      <c r="G8" s="43"/>
      <c r="H8" s="40"/>
      <c r="I8" s="40"/>
      <c r="J8" s="66"/>
      <c r="K8" s="43"/>
      <c r="L8" s="40"/>
      <c r="M8" s="40"/>
      <c r="N8" s="66"/>
      <c r="O8" s="43"/>
      <c r="P8" s="40"/>
      <c r="Q8" s="40"/>
      <c r="R8" s="66"/>
      <c r="S8" s="43"/>
      <c r="T8" s="40"/>
      <c r="U8" s="40"/>
      <c r="V8" s="6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</row>
    <row r="9" spans="1:38" x14ac:dyDescent="0.35">
      <c r="A9" s="18">
        <v>6</v>
      </c>
      <c r="B9" s="19" t="s">
        <v>18</v>
      </c>
      <c r="C9">
        <f>A10</f>
        <v>7</v>
      </c>
      <c r="D9">
        <v>15</v>
      </c>
      <c r="E9">
        <v>23</v>
      </c>
      <c r="F9">
        <v>31</v>
      </c>
      <c r="G9" s="43"/>
      <c r="H9" s="40"/>
      <c r="I9" s="40"/>
      <c r="J9" s="66"/>
      <c r="K9" s="43"/>
      <c r="L9" s="40"/>
      <c r="M9" s="40"/>
      <c r="N9" s="66"/>
      <c r="O9" s="43"/>
      <c r="P9" s="40"/>
      <c r="Q9" s="40"/>
      <c r="R9" s="66"/>
      <c r="S9" s="43"/>
      <c r="T9" s="40"/>
      <c r="U9" s="40"/>
      <c r="V9" s="6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</row>
    <row r="10" spans="1:38" x14ac:dyDescent="0.35">
      <c r="A10" s="18">
        <v>7</v>
      </c>
      <c r="B10" s="19" t="s">
        <v>18</v>
      </c>
      <c r="C10">
        <v>8</v>
      </c>
      <c r="D10">
        <v>16</v>
      </c>
      <c r="E10">
        <v>24</v>
      </c>
      <c r="F10">
        <v>32</v>
      </c>
      <c r="G10" s="43"/>
      <c r="H10" s="40"/>
      <c r="I10" s="40"/>
      <c r="J10" s="66"/>
      <c r="K10" s="43"/>
      <c r="L10" s="40"/>
      <c r="M10" s="40"/>
      <c r="N10" s="66"/>
      <c r="O10" s="43"/>
      <c r="P10" s="40"/>
      <c r="Q10" s="40"/>
      <c r="R10" s="66"/>
      <c r="S10" s="43"/>
      <c r="T10" s="40"/>
      <c r="U10" s="40"/>
      <c r="V10" s="6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spans="1:38" x14ac:dyDescent="0.35">
      <c r="A11" s="18">
        <v>8</v>
      </c>
      <c r="B11" s="19" t="s">
        <v>18</v>
      </c>
      <c r="G11" s="43"/>
      <c r="H11" s="40"/>
      <c r="I11" s="40"/>
      <c r="J11" s="66"/>
      <c r="K11" s="43"/>
      <c r="L11" s="40"/>
      <c r="M11" s="40"/>
      <c r="N11" s="66"/>
      <c r="O11" s="43"/>
      <c r="P11" s="40"/>
      <c r="Q11" s="40"/>
      <c r="R11" s="66"/>
      <c r="S11" s="43"/>
      <c r="T11" s="40"/>
      <c r="U11" s="40"/>
      <c r="V11" s="6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spans="1:38" x14ac:dyDescent="0.35">
      <c r="A12" s="18">
        <v>9</v>
      </c>
      <c r="B12" s="19" t="s">
        <v>18</v>
      </c>
      <c r="G12" s="43"/>
      <c r="H12" s="40"/>
      <c r="I12" s="40"/>
      <c r="J12" s="66"/>
      <c r="K12" s="43"/>
      <c r="L12" s="40"/>
      <c r="M12" s="40"/>
      <c r="N12" s="66"/>
      <c r="O12" s="43"/>
      <c r="P12" s="40"/>
      <c r="Q12" s="40"/>
      <c r="R12" s="66"/>
      <c r="S12" s="43"/>
      <c r="T12" s="40"/>
      <c r="U12" s="40"/>
      <c r="V12" s="6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</row>
    <row r="13" spans="1:38" x14ac:dyDescent="0.35">
      <c r="A13" s="18">
        <v>10</v>
      </c>
      <c r="B13" s="19" t="s">
        <v>18</v>
      </c>
      <c r="G13" s="43"/>
      <c r="H13" s="40"/>
      <c r="I13" s="40"/>
      <c r="J13" s="66"/>
      <c r="K13" s="43"/>
      <c r="L13" s="40"/>
      <c r="M13" s="40"/>
      <c r="N13" s="66"/>
      <c r="O13" s="43"/>
      <c r="P13" s="40"/>
      <c r="Q13" s="40"/>
      <c r="R13" s="66"/>
      <c r="S13" s="43"/>
      <c r="T13" s="40"/>
      <c r="U13" s="40"/>
      <c r="V13" s="6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</row>
    <row r="14" spans="1:38" x14ac:dyDescent="0.35">
      <c r="A14" s="18">
        <v>11</v>
      </c>
      <c r="B14" s="19" t="s">
        <v>18</v>
      </c>
      <c r="D14">
        <f>$B$2/$C$2-$E$2/2+1</f>
        <v>2</v>
      </c>
      <c r="E14">
        <f>$B$2/$C$2+$E$2/2</f>
        <v>5</v>
      </c>
      <c r="G14" s="43"/>
      <c r="H14" s="40"/>
      <c r="I14" s="40"/>
      <c r="J14" s="66"/>
      <c r="K14" s="43"/>
      <c r="L14" s="40"/>
      <c r="M14" s="40"/>
      <c r="N14" s="66"/>
      <c r="O14" s="43"/>
      <c r="P14" s="40"/>
      <c r="Q14" s="40"/>
      <c r="R14" s="66"/>
      <c r="S14" s="43"/>
      <c r="T14" s="40"/>
      <c r="U14" s="40"/>
      <c r="V14" s="6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</row>
    <row r="15" spans="1:38" x14ac:dyDescent="0.35">
      <c r="A15" s="18">
        <v>12</v>
      </c>
      <c r="B15" s="19" t="s">
        <v>18</v>
      </c>
      <c r="D15">
        <f>2*$B$2/$C$2-$E$2/2+1</f>
        <v>5</v>
      </c>
      <c r="E15">
        <f>2*$B$2/$C$2+$E$2/2</f>
        <v>8</v>
      </c>
      <c r="G15" s="43"/>
      <c r="H15" s="40"/>
      <c r="I15" s="40"/>
      <c r="J15" s="66"/>
      <c r="K15" s="43"/>
      <c r="L15" s="40"/>
      <c r="M15" s="40"/>
      <c r="N15" s="66"/>
      <c r="O15" s="43"/>
      <c r="P15" s="40"/>
      <c r="Q15" s="40"/>
      <c r="R15" s="66"/>
      <c r="S15" s="43"/>
      <c r="T15" s="40"/>
      <c r="U15" s="40"/>
      <c r="V15" s="6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</row>
    <row r="16" spans="1:38" x14ac:dyDescent="0.35">
      <c r="A16" s="18">
        <v>13</v>
      </c>
      <c r="B16" s="19" t="s">
        <v>18</v>
      </c>
      <c r="D16">
        <f>3*$B$2/$C$2-$E$2/2+1</f>
        <v>8</v>
      </c>
      <c r="E16">
        <f>3*$B$2/$C$2+$E$2/2</f>
        <v>11</v>
      </c>
      <c r="G16" s="43"/>
      <c r="H16" s="40"/>
      <c r="I16" s="40"/>
      <c r="J16" s="66"/>
      <c r="K16" s="43"/>
      <c r="L16" s="40"/>
      <c r="M16" s="40"/>
      <c r="N16" s="66"/>
      <c r="O16" s="43"/>
      <c r="P16" s="40"/>
      <c r="Q16" s="40"/>
      <c r="R16" s="66"/>
      <c r="S16" s="43"/>
      <c r="T16" s="40"/>
      <c r="U16" s="40"/>
      <c r="V16" s="6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</row>
    <row r="17" spans="1:38" x14ac:dyDescent="0.35">
      <c r="A17" s="3">
        <v>14</v>
      </c>
      <c r="B17" s="22" t="s">
        <v>19</v>
      </c>
      <c r="D17">
        <f>$B$2-2</f>
        <v>10</v>
      </c>
      <c r="E17">
        <f>$B$2</f>
        <v>12</v>
      </c>
      <c r="G17" s="43"/>
      <c r="H17" s="40"/>
      <c r="I17" s="40"/>
      <c r="J17" s="66"/>
      <c r="K17" s="43"/>
      <c r="L17" s="40"/>
      <c r="M17" s="40"/>
      <c r="N17" s="66"/>
      <c r="O17" s="43"/>
      <c r="P17" s="40"/>
      <c r="Q17" s="40"/>
      <c r="R17" s="66"/>
      <c r="S17" s="43"/>
      <c r="T17" s="40"/>
      <c r="U17" s="40"/>
      <c r="V17" s="6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x14ac:dyDescent="0.35">
      <c r="A18" s="3">
        <v>15</v>
      </c>
      <c r="B18" s="22" t="s">
        <v>19</v>
      </c>
      <c r="G18" s="43"/>
      <c r="H18" s="40"/>
      <c r="I18" s="40"/>
      <c r="J18" s="66"/>
      <c r="K18" s="43"/>
      <c r="L18" s="40"/>
      <c r="M18" s="40"/>
      <c r="N18" s="66"/>
      <c r="O18" s="43"/>
      <c r="P18" s="40"/>
      <c r="Q18" s="40"/>
      <c r="R18" s="66"/>
      <c r="S18" s="43"/>
      <c r="T18" s="40"/>
      <c r="U18" s="40"/>
      <c r="V18" s="6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x14ac:dyDescent="0.35">
      <c r="A19" s="3">
        <v>16</v>
      </c>
      <c r="B19" s="22" t="s">
        <v>19</v>
      </c>
      <c r="D19">
        <f>$B$2/$C$2-$E$2/2+$B$2/8+1</f>
        <v>3.5</v>
      </c>
      <c r="E19">
        <f>ROUND($B$2/$C$2+$E$2/2+$B$2/8,0)</f>
        <v>7</v>
      </c>
      <c r="G19" s="43"/>
      <c r="H19" s="40"/>
      <c r="I19" s="40"/>
      <c r="J19" s="66"/>
      <c r="K19" s="43"/>
      <c r="L19" s="40"/>
      <c r="M19" s="40"/>
      <c r="N19" s="66"/>
      <c r="O19" s="43"/>
      <c r="P19" s="40"/>
      <c r="Q19" s="40"/>
      <c r="R19" s="66"/>
      <c r="S19" s="43"/>
      <c r="T19" s="40"/>
      <c r="U19" s="40"/>
      <c r="V19" s="6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x14ac:dyDescent="0.35">
      <c r="A20" s="3">
        <v>17</v>
      </c>
      <c r="B20" s="22" t="s">
        <v>19</v>
      </c>
      <c r="D20">
        <f>2*$B$2/$C$2-$E$2/2+$B$2/8+1</f>
        <v>6.5</v>
      </c>
      <c r="E20">
        <f>ROUND(2*$B$2/$C$2+$E$2/2+$B$2/8,0)</f>
        <v>10</v>
      </c>
      <c r="G20" s="43"/>
      <c r="H20" s="40"/>
      <c r="I20" s="40"/>
      <c r="J20" s="66"/>
      <c r="K20" s="43"/>
      <c r="L20" s="40"/>
      <c r="M20" s="40"/>
      <c r="N20" s="66"/>
      <c r="O20" s="43"/>
      <c r="P20" s="40"/>
      <c r="Q20" s="40"/>
      <c r="R20" s="66"/>
      <c r="S20" s="43"/>
      <c r="T20" s="40"/>
      <c r="U20" s="40"/>
      <c r="V20" s="6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x14ac:dyDescent="0.35">
      <c r="A21" s="3">
        <v>18</v>
      </c>
      <c r="B21" s="22" t="s">
        <v>19</v>
      </c>
      <c r="D21">
        <f>3*$B$2/$C$2-$E$2/2+$B$2/8+1</f>
        <v>9.5</v>
      </c>
      <c r="E21">
        <f>ROUND(3*$B$2/$C$2+$E$2/2+$B$2/8,0)</f>
        <v>13</v>
      </c>
      <c r="G21" s="43"/>
      <c r="H21" s="40"/>
      <c r="I21" s="40"/>
      <c r="J21" s="66"/>
      <c r="K21" s="43"/>
      <c r="L21" s="40"/>
      <c r="M21" s="40"/>
      <c r="N21" s="66"/>
      <c r="O21" s="43"/>
      <c r="P21" s="40"/>
      <c r="Q21" s="40"/>
      <c r="R21" s="66"/>
      <c r="S21" s="43"/>
      <c r="T21" s="40"/>
      <c r="U21" s="40"/>
      <c r="V21" s="6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thickBot="1" x14ac:dyDescent="0.4">
      <c r="A22" s="23">
        <v>19</v>
      </c>
      <c r="B22" s="24" t="s">
        <v>20</v>
      </c>
      <c r="D22">
        <f>$B$2-2</f>
        <v>10</v>
      </c>
      <c r="E22">
        <f>$B$2</f>
        <v>12</v>
      </c>
      <c r="G22" s="44"/>
      <c r="H22" s="48"/>
      <c r="I22" s="48"/>
      <c r="J22" s="67"/>
      <c r="K22" s="44"/>
      <c r="L22" s="48"/>
      <c r="M22" s="48"/>
      <c r="N22" s="67"/>
      <c r="O22" s="44"/>
      <c r="P22" s="48"/>
      <c r="Q22" s="48"/>
      <c r="R22" s="67"/>
      <c r="S22" s="44"/>
      <c r="T22" s="48"/>
      <c r="U22" s="48"/>
      <c r="V22" s="6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x14ac:dyDescent="0.35">
      <c r="A23" s="23">
        <v>20</v>
      </c>
      <c r="B23" s="24" t="s">
        <v>20</v>
      </c>
      <c r="D23">
        <f>$B$2/$C$2+1-$B$2/8-$E$2/2</f>
        <v>0.5</v>
      </c>
      <c r="E23">
        <f>ROUND($B$2/$C$2+$E$2/2-$B$2/8,0)</f>
        <v>4</v>
      </c>
    </row>
    <row r="24" spans="1:38" x14ac:dyDescent="0.35">
      <c r="A24" s="23">
        <v>21</v>
      </c>
      <c r="B24" s="24" t="s">
        <v>20</v>
      </c>
    </row>
    <row r="25" spans="1:38" x14ac:dyDescent="0.35">
      <c r="A25" s="23">
        <v>22</v>
      </c>
      <c r="B25" s="24" t="s">
        <v>20</v>
      </c>
      <c r="G25"/>
    </row>
    <row r="26" spans="1:38" x14ac:dyDescent="0.35">
      <c r="A26" s="25">
        <v>23</v>
      </c>
      <c r="B26" s="26" t="s">
        <v>21</v>
      </c>
      <c r="G26"/>
    </row>
    <row r="27" spans="1:38" x14ac:dyDescent="0.35">
      <c r="A27" s="25">
        <v>24</v>
      </c>
      <c r="B27" s="26" t="s">
        <v>21</v>
      </c>
    </row>
    <row r="28" spans="1:38" ht="15" thickBot="1" x14ac:dyDescent="0.4">
      <c r="A28" s="25">
        <v>25</v>
      </c>
      <c r="B28" s="26" t="s">
        <v>21</v>
      </c>
      <c r="E28" s="16" t="s">
        <v>17</v>
      </c>
      <c r="F28" s="17">
        <v>5</v>
      </c>
      <c r="G28" s="17">
        <v>5</v>
      </c>
      <c r="H28" s="17">
        <v>5</v>
      </c>
      <c r="I28" s="17">
        <v>5</v>
      </c>
      <c r="J28" s="17">
        <v>5</v>
      </c>
      <c r="K28" s="17">
        <v>5</v>
      </c>
    </row>
    <row r="29" spans="1:38" x14ac:dyDescent="0.35">
      <c r="A29" s="25">
        <v>26</v>
      </c>
      <c r="B29" s="26" t="s">
        <v>21</v>
      </c>
      <c r="E29" s="16" t="s">
        <v>18</v>
      </c>
      <c r="F29" s="17">
        <v>10</v>
      </c>
      <c r="G29" s="17">
        <v>10</v>
      </c>
      <c r="H29" s="17">
        <v>2</v>
      </c>
      <c r="I29" s="17">
        <v>2</v>
      </c>
      <c r="J29" s="17">
        <v>2</v>
      </c>
      <c r="K29" s="17">
        <v>4</v>
      </c>
      <c r="L29" s="9"/>
      <c r="M29" s="9"/>
      <c r="N29" s="10"/>
      <c r="O29" s="9"/>
      <c r="P29" s="9"/>
      <c r="Q29" s="9"/>
      <c r="R29" s="9"/>
      <c r="S29" s="8"/>
      <c r="T29" s="9"/>
      <c r="U29" s="9"/>
      <c r="V29" s="10"/>
    </row>
    <row r="30" spans="1:38" x14ac:dyDescent="0.35">
      <c r="A30" s="25">
        <v>27</v>
      </c>
      <c r="B30" s="26" t="s">
        <v>21</v>
      </c>
      <c r="E30" s="16" t="s">
        <v>19</v>
      </c>
      <c r="F30" s="17">
        <v>5</v>
      </c>
      <c r="G30" s="17">
        <v>5</v>
      </c>
      <c r="H30" s="17">
        <v>5</v>
      </c>
      <c r="I30" s="17">
        <v>5</v>
      </c>
      <c r="J30" s="17">
        <v>3</v>
      </c>
      <c r="K30" s="17">
        <v>4</v>
      </c>
      <c r="N30" s="12"/>
      <c r="S30" s="11"/>
      <c r="V30" s="12"/>
    </row>
    <row r="31" spans="1:38" x14ac:dyDescent="0.35">
      <c r="A31" s="27">
        <v>28</v>
      </c>
      <c r="B31" s="28" t="s">
        <v>22</v>
      </c>
      <c r="E31" s="16" t="s">
        <v>20</v>
      </c>
      <c r="F31" s="17">
        <v>0</v>
      </c>
      <c r="G31" s="17">
        <v>4</v>
      </c>
      <c r="H31" s="17">
        <v>6</v>
      </c>
      <c r="I31" s="17">
        <v>4</v>
      </c>
      <c r="J31" s="17">
        <v>6</v>
      </c>
      <c r="K31" s="17">
        <v>1</v>
      </c>
      <c r="N31" s="12"/>
      <c r="S31" s="11"/>
      <c r="V31" s="12"/>
    </row>
    <row r="32" spans="1:38" x14ac:dyDescent="0.35">
      <c r="A32" s="29">
        <v>29</v>
      </c>
      <c r="B32" s="30" t="s">
        <v>23</v>
      </c>
      <c r="E32" s="16" t="s">
        <v>21</v>
      </c>
      <c r="F32" s="17">
        <v>4</v>
      </c>
      <c r="G32" s="17">
        <v>5</v>
      </c>
      <c r="H32" s="17">
        <v>5</v>
      </c>
      <c r="I32" s="17">
        <v>3</v>
      </c>
      <c r="J32" s="17">
        <v>2</v>
      </c>
      <c r="K32" s="17">
        <v>1</v>
      </c>
      <c r="N32" s="12"/>
      <c r="S32" s="11"/>
      <c r="V32" s="12"/>
    </row>
    <row r="33" spans="1:22" x14ac:dyDescent="0.35">
      <c r="A33" s="29">
        <v>30</v>
      </c>
      <c r="B33" s="30" t="s">
        <v>23</v>
      </c>
      <c r="E33" s="16" t="s">
        <v>22</v>
      </c>
      <c r="F33" s="17">
        <v>1</v>
      </c>
      <c r="G33" s="17">
        <v>1</v>
      </c>
      <c r="H33" s="17">
        <v>2</v>
      </c>
      <c r="I33" s="17">
        <v>2</v>
      </c>
      <c r="J33" s="17">
        <v>4</v>
      </c>
      <c r="K33" s="17">
        <v>2</v>
      </c>
      <c r="N33" s="12"/>
      <c r="S33" s="11"/>
      <c r="V33" s="12"/>
    </row>
    <row r="34" spans="1:22" x14ac:dyDescent="0.35">
      <c r="A34" s="29">
        <v>31</v>
      </c>
      <c r="B34" s="30" t="s">
        <v>23</v>
      </c>
      <c r="E34" s="16" t="s">
        <v>23</v>
      </c>
      <c r="F34" s="17">
        <v>3</v>
      </c>
      <c r="G34" s="17">
        <v>6</v>
      </c>
      <c r="H34" s="17">
        <v>8</v>
      </c>
      <c r="I34" s="17">
        <v>12</v>
      </c>
      <c r="J34" s="17">
        <v>12</v>
      </c>
      <c r="K34" s="17">
        <v>2</v>
      </c>
    </row>
    <row r="35" spans="1:22" x14ac:dyDescent="0.35">
      <c r="A35" s="29">
        <v>32</v>
      </c>
      <c r="B35" s="30" t="s">
        <v>23</v>
      </c>
      <c r="E35" s="16" t="s">
        <v>24</v>
      </c>
      <c r="F35" s="17">
        <v>2</v>
      </c>
      <c r="G35" s="17">
        <v>9</v>
      </c>
      <c r="H35" s="17">
        <v>9</v>
      </c>
      <c r="I35" s="17">
        <v>1</v>
      </c>
      <c r="J35" s="17">
        <v>1</v>
      </c>
      <c r="K35" s="17">
        <v>6</v>
      </c>
    </row>
    <row r="36" spans="1:22" x14ac:dyDescent="0.35">
      <c r="A36" s="29">
        <v>33</v>
      </c>
      <c r="B36" s="30" t="s">
        <v>23</v>
      </c>
      <c r="E36" s="16" t="s">
        <v>25</v>
      </c>
      <c r="F36" s="17">
        <v>2</v>
      </c>
      <c r="G36" s="17">
        <v>2</v>
      </c>
      <c r="H36" s="17">
        <v>3</v>
      </c>
      <c r="I36" s="17">
        <v>2</v>
      </c>
      <c r="J36" s="17">
        <v>2</v>
      </c>
      <c r="K36" s="17">
        <v>5</v>
      </c>
    </row>
    <row r="37" spans="1:22" x14ac:dyDescent="0.35">
      <c r="A37" s="29">
        <v>34</v>
      </c>
      <c r="B37" s="30" t="s">
        <v>23</v>
      </c>
      <c r="E37" s="16" t="s">
        <v>26</v>
      </c>
      <c r="F37" s="17">
        <v>5</v>
      </c>
      <c r="G37" s="17">
        <v>10</v>
      </c>
      <c r="H37" s="17">
        <v>5</v>
      </c>
      <c r="I37" s="17">
        <v>3</v>
      </c>
      <c r="J37" s="17">
        <v>2</v>
      </c>
      <c r="K37" s="17">
        <v>4</v>
      </c>
    </row>
    <row r="38" spans="1:22" x14ac:dyDescent="0.35">
      <c r="A38" s="31">
        <v>35</v>
      </c>
      <c r="B38" s="32" t="s">
        <v>24</v>
      </c>
      <c r="E38" s="16" t="s">
        <v>27</v>
      </c>
      <c r="F38" s="17">
        <v>3</v>
      </c>
      <c r="G38" s="17">
        <v>8</v>
      </c>
      <c r="H38" s="17">
        <v>10</v>
      </c>
      <c r="I38" s="17">
        <v>12</v>
      </c>
      <c r="J38" s="17">
        <v>3</v>
      </c>
      <c r="K38" s="17">
        <v>8</v>
      </c>
    </row>
    <row r="39" spans="1:22" x14ac:dyDescent="0.35">
      <c r="A39" s="31">
        <v>36</v>
      </c>
      <c r="B39" s="32" t="s">
        <v>24</v>
      </c>
      <c r="E39" s="16" t="s">
        <v>28</v>
      </c>
      <c r="F39" s="17">
        <v>2</v>
      </c>
      <c r="G39" s="17">
        <v>5</v>
      </c>
      <c r="H39" s="17">
        <v>2</v>
      </c>
      <c r="I39" s="17">
        <v>2</v>
      </c>
      <c r="J39" s="17">
        <v>4</v>
      </c>
      <c r="K39" s="17">
        <v>4</v>
      </c>
    </row>
    <row r="40" spans="1:22" x14ac:dyDescent="0.35">
      <c r="A40" s="31">
        <v>37</v>
      </c>
      <c r="B40" s="32" t="s">
        <v>24</v>
      </c>
      <c r="E40" s="16" t="s">
        <v>29</v>
      </c>
      <c r="F40" s="17">
        <v>3</v>
      </c>
      <c r="G40" s="17">
        <v>9</v>
      </c>
      <c r="H40" s="17">
        <v>8</v>
      </c>
      <c r="I40" s="17">
        <v>6</v>
      </c>
      <c r="J40" s="17">
        <v>5</v>
      </c>
      <c r="K40" s="17">
        <v>4</v>
      </c>
    </row>
    <row r="41" spans="1:22" x14ac:dyDescent="0.35">
      <c r="A41" s="31">
        <v>38</v>
      </c>
      <c r="B41" s="32" t="s">
        <v>24</v>
      </c>
      <c r="F41">
        <f t="shared" ref="F41:K41" si="2">SUM(F28:F40)</f>
        <v>45</v>
      </c>
      <c r="G41">
        <f t="shared" si="2"/>
        <v>79</v>
      </c>
      <c r="H41">
        <f t="shared" si="2"/>
        <v>70</v>
      </c>
      <c r="I41">
        <f t="shared" si="2"/>
        <v>59</v>
      </c>
      <c r="J41">
        <f t="shared" si="2"/>
        <v>51</v>
      </c>
      <c r="K41">
        <f t="shared" si="2"/>
        <v>50</v>
      </c>
    </row>
    <row r="42" spans="1:22" x14ac:dyDescent="0.35">
      <c r="A42" s="31">
        <v>39</v>
      </c>
      <c r="B42" s="32" t="s">
        <v>24</v>
      </c>
    </row>
    <row r="43" spans="1:22" x14ac:dyDescent="0.35">
      <c r="A43" s="31">
        <v>40</v>
      </c>
      <c r="B43" s="32" t="s">
        <v>24</v>
      </c>
    </row>
    <row r="44" spans="1:22" x14ac:dyDescent="0.35">
      <c r="A44" s="31">
        <v>41</v>
      </c>
      <c r="B44" s="32" t="s">
        <v>24</v>
      </c>
    </row>
    <row r="45" spans="1:22" x14ac:dyDescent="0.35">
      <c r="A45" s="31">
        <v>42</v>
      </c>
      <c r="B45" s="32" t="s">
        <v>24</v>
      </c>
    </row>
    <row r="46" spans="1:22" x14ac:dyDescent="0.35">
      <c r="A46" s="31">
        <v>43</v>
      </c>
      <c r="B46" s="32" t="s">
        <v>24</v>
      </c>
    </row>
    <row r="47" spans="1:22" x14ac:dyDescent="0.35">
      <c r="A47" s="33">
        <v>44</v>
      </c>
      <c r="B47" s="34" t="s">
        <v>25</v>
      </c>
    </row>
    <row r="48" spans="1:22" x14ac:dyDescent="0.35">
      <c r="A48" s="33">
        <v>45</v>
      </c>
      <c r="B48" s="34" t="s">
        <v>25</v>
      </c>
    </row>
    <row r="49" spans="1:2" x14ac:dyDescent="0.35">
      <c r="A49" s="35">
        <v>46</v>
      </c>
      <c r="B49" s="36" t="s">
        <v>26</v>
      </c>
    </row>
    <row r="50" spans="1:2" x14ac:dyDescent="0.35">
      <c r="A50" s="35">
        <v>47</v>
      </c>
      <c r="B50" s="36" t="s">
        <v>26</v>
      </c>
    </row>
    <row r="51" spans="1:2" x14ac:dyDescent="0.35">
      <c r="A51" s="35">
        <v>48</v>
      </c>
      <c r="B51" s="36" t="s">
        <v>26</v>
      </c>
    </row>
    <row r="52" spans="1:2" x14ac:dyDescent="0.35">
      <c r="A52" s="35">
        <v>49</v>
      </c>
      <c r="B52" s="36" t="s">
        <v>26</v>
      </c>
    </row>
    <row r="53" spans="1:2" x14ac:dyDescent="0.35">
      <c r="A53" s="35">
        <v>50</v>
      </c>
      <c r="B53" s="36" t="s">
        <v>26</v>
      </c>
    </row>
    <row r="54" spans="1:2" x14ac:dyDescent="0.35">
      <c r="A54" s="35">
        <v>51</v>
      </c>
      <c r="B54" s="36" t="s">
        <v>26</v>
      </c>
    </row>
    <row r="55" spans="1:2" x14ac:dyDescent="0.35">
      <c r="A55" s="35">
        <v>52</v>
      </c>
      <c r="B55" s="36" t="s">
        <v>26</v>
      </c>
    </row>
    <row r="56" spans="1:2" x14ac:dyDescent="0.35">
      <c r="A56" s="35">
        <v>53</v>
      </c>
      <c r="B56" s="36" t="s">
        <v>26</v>
      </c>
    </row>
    <row r="57" spans="1:2" x14ac:dyDescent="0.35">
      <c r="A57" s="35">
        <v>54</v>
      </c>
      <c r="B57" s="36" t="s">
        <v>26</v>
      </c>
    </row>
    <row r="58" spans="1:2" x14ac:dyDescent="0.35">
      <c r="A58" s="35">
        <v>55</v>
      </c>
      <c r="B58" s="36" t="s">
        <v>26</v>
      </c>
    </row>
    <row r="59" spans="1:2" x14ac:dyDescent="0.35">
      <c r="A59" s="37">
        <v>56</v>
      </c>
      <c r="B59" s="38" t="s">
        <v>27</v>
      </c>
    </row>
    <row r="60" spans="1:2" x14ac:dyDescent="0.35">
      <c r="A60" s="37">
        <v>57</v>
      </c>
      <c r="B60" s="38" t="s">
        <v>27</v>
      </c>
    </row>
    <row r="61" spans="1:2" x14ac:dyDescent="0.35">
      <c r="A61" s="37">
        <v>58</v>
      </c>
      <c r="B61" s="38" t="s">
        <v>27</v>
      </c>
    </row>
    <row r="62" spans="1:2" x14ac:dyDescent="0.35">
      <c r="A62" s="37">
        <v>59</v>
      </c>
      <c r="B62" s="38" t="s">
        <v>27</v>
      </c>
    </row>
    <row r="63" spans="1:2" x14ac:dyDescent="0.35">
      <c r="A63" s="37">
        <v>60</v>
      </c>
      <c r="B63" s="38" t="s">
        <v>27</v>
      </c>
    </row>
    <row r="64" spans="1:2" x14ac:dyDescent="0.35">
      <c r="A64" s="37">
        <v>61</v>
      </c>
      <c r="B64" s="38" t="s">
        <v>27</v>
      </c>
    </row>
    <row r="65" spans="1:2" x14ac:dyDescent="0.35">
      <c r="A65" s="37">
        <v>62</v>
      </c>
      <c r="B65" s="38" t="s">
        <v>27</v>
      </c>
    </row>
    <row r="66" spans="1:2" x14ac:dyDescent="0.35">
      <c r="A66" s="37">
        <v>63</v>
      </c>
      <c r="B66" s="38" t="s">
        <v>27</v>
      </c>
    </row>
    <row r="67" spans="1:2" x14ac:dyDescent="0.35">
      <c r="A67" s="1">
        <v>64</v>
      </c>
      <c r="B67" s="39" t="s">
        <v>28</v>
      </c>
    </row>
    <row r="68" spans="1:2" x14ac:dyDescent="0.35">
      <c r="A68" s="1">
        <v>65</v>
      </c>
      <c r="B68" s="39" t="s">
        <v>28</v>
      </c>
    </row>
    <row r="69" spans="1:2" x14ac:dyDescent="0.35">
      <c r="A69" s="1">
        <v>66</v>
      </c>
      <c r="B69" s="39" t="s">
        <v>28</v>
      </c>
    </row>
    <row r="70" spans="1:2" x14ac:dyDescent="0.35">
      <c r="A70" s="1">
        <v>67</v>
      </c>
      <c r="B70" s="39" t="s">
        <v>28</v>
      </c>
    </row>
    <row r="71" spans="1:2" x14ac:dyDescent="0.35">
      <c r="A71" s="1">
        <v>68</v>
      </c>
      <c r="B71" s="39" t="s">
        <v>28</v>
      </c>
    </row>
    <row r="72" spans="1:2" x14ac:dyDescent="0.35">
      <c r="A72">
        <v>69</v>
      </c>
      <c r="B72" s="16" t="s">
        <v>29</v>
      </c>
    </row>
    <row r="73" spans="1:2" x14ac:dyDescent="0.35">
      <c r="A73">
        <v>70</v>
      </c>
      <c r="B73" s="16" t="s">
        <v>29</v>
      </c>
    </row>
    <row r="74" spans="1:2" x14ac:dyDescent="0.35">
      <c r="A74">
        <v>71</v>
      </c>
      <c r="B74" s="16" t="s">
        <v>29</v>
      </c>
    </row>
    <row r="75" spans="1:2" x14ac:dyDescent="0.35">
      <c r="A75">
        <v>72</v>
      </c>
      <c r="B75" s="16" t="s">
        <v>29</v>
      </c>
    </row>
    <row r="76" spans="1:2" x14ac:dyDescent="0.35">
      <c r="A76">
        <v>73</v>
      </c>
      <c r="B76" s="16" t="s">
        <v>29</v>
      </c>
    </row>
    <row r="77" spans="1:2" x14ac:dyDescent="0.35">
      <c r="A77">
        <v>74</v>
      </c>
      <c r="B77" s="16" t="s">
        <v>29</v>
      </c>
    </row>
    <row r="78" spans="1:2" x14ac:dyDescent="0.35">
      <c r="A78">
        <v>75</v>
      </c>
      <c r="B78" s="16" t="s">
        <v>29</v>
      </c>
    </row>
    <row r="79" spans="1:2" x14ac:dyDescent="0.35">
      <c r="A79">
        <v>76</v>
      </c>
      <c r="B79" s="16" t="s">
        <v>29</v>
      </c>
    </row>
    <row r="80" spans="1:2" x14ac:dyDescent="0.35">
      <c r="A80">
        <v>77</v>
      </c>
      <c r="B80" s="16" t="s">
        <v>29</v>
      </c>
    </row>
    <row r="81" spans="1:2" x14ac:dyDescent="0.35">
      <c r="A81">
        <v>78</v>
      </c>
      <c r="B81" s="16" t="s">
        <v>29</v>
      </c>
    </row>
    <row r="82" spans="1:2" x14ac:dyDescent="0.35">
      <c r="A82">
        <v>79</v>
      </c>
    </row>
  </sheetData>
  <conditionalFormatting sqref="G3:V22">
    <cfRule type="cellIs" dxfId="24" priority="22" operator="between">
      <formula>$D$17</formula>
      <formula>$E$17</formula>
    </cfRule>
    <cfRule type="cellIs" dxfId="23" priority="23" operator="between">
      <formula>$D$16</formula>
      <formula>$E$16</formula>
    </cfRule>
    <cfRule type="cellIs" dxfId="22" priority="24" operator="between">
      <formula>$D$15</formula>
      <formula>$E$15</formula>
    </cfRule>
    <cfRule type="cellIs" dxfId="21" priority="25" operator="between">
      <formula>$D$14</formula>
      <formula>$E$14</formula>
    </cfRule>
  </conditionalFormatting>
  <conditionalFormatting sqref="W8:AL22">
    <cfRule type="cellIs" dxfId="20" priority="17" operator="between">
      <formula>$D$23</formula>
      <formula>$E$23</formula>
    </cfRule>
    <cfRule type="cellIs" dxfId="19" priority="18" operator="between">
      <formula>$D$22</formula>
      <formula>$E$22</formula>
    </cfRule>
    <cfRule type="cellIs" dxfId="18" priority="19" operator="between">
      <formula>$D$21</formula>
      <formula>$E$21</formula>
    </cfRule>
    <cfRule type="cellIs" dxfId="17" priority="20" operator="between">
      <formula>$D$20</formula>
      <formula>$E$20</formula>
    </cfRule>
    <cfRule type="cellIs" dxfId="16" priority="21" operator="between">
      <formula>$D$19</formula>
      <formula>$E$19</formula>
    </cfRule>
  </conditionalFormatting>
  <conditionalFormatting sqref="W3:Z7">
    <cfRule type="cellIs" dxfId="15" priority="13" operator="between">
      <formula>$D$17</formula>
      <formula>$E$17</formula>
    </cfRule>
    <cfRule type="cellIs" dxfId="14" priority="14" operator="between">
      <formula>$D$16</formula>
      <formula>$E$16</formula>
    </cfRule>
    <cfRule type="cellIs" dxfId="13" priority="15" operator="between">
      <formula>$D$15</formula>
      <formula>$E$15</formula>
    </cfRule>
    <cfRule type="cellIs" dxfId="12" priority="16" operator="between">
      <formula>$D$14</formula>
      <formula>$E$14</formula>
    </cfRule>
  </conditionalFormatting>
  <conditionalFormatting sqref="AA3:AD7">
    <cfRule type="cellIs" dxfId="11" priority="9" operator="between">
      <formula>$D$17</formula>
      <formula>$E$17</formula>
    </cfRule>
    <cfRule type="cellIs" dxfId="10" priority="10" operator="between">
      <formula>$D$16</formula>
      <formula>$E$16</formula>
    </cfRule>
    <cfRule type="cellIs" dxfId="9" priority="11" operator="between">
      <formula>$D$15</formula>
      <formula>$E$15</formula>
    </cfRule>
    <cfRule type="cellIs" dxfId="8" priority="12" operator="between">
      <formula>$D$14</formula>
      <formula>$E$14</formula>
    </cfRule>
  </conditionalFormatting>
  <conditionalFormatting sqref="AE3:AH7">
    <cfRule type="cellIs" dxfId="7" priority="5" operator="between">
      <formula>$D$17</formula>
      <formula>$E$17</formula>
    </cfRule>
    <cfRule type="cellIs" dxfId="6" priority="6" operator="between">
      <formula>$D$16</formula>
      <formula>$E$16</formula>
    </cfRule>
    <cfRule type="cellIs" dxfId="5" priority="7" operator="between">
      <formula>$D$15</formula>
      <formula>$E$15</formula>
    </cfRule>
    <cfRule type="cellIs" dxfId="4" priority="8" operator="between">
      <formula>$D$14</formula>
      <formula>$E$14</formula>
    </cfRule>
  </conditionalFormatting>
  <conditionalFormatting sqref="AI3:AL7">
    <cfRule type="cellIs" dxfId="3" priority="1" operator="between">
      <formula>$D$17</formula>
      <formula>$E$17</formula>
    </cfRule>
    <cfRule type="cellIs" dxfId="2" priority="2" operator="between">
      <formula>$D$16</formula>
      <formula>$E$16</formula>
    </cfRule>
    <cfRule type="cellIs" dxfId="1" priority="3" operator="between">
      <formula>$D$15</formula>
      <formula>$E$15</formula>
    </cfRule>
    <cfRule type="cellIs" dxfId="0" priority="4" operator="between">
      <formula>$D$14</formula>
      <formula>$E$14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39</vt:i4>
      </vt:variant>
    </vt:vector>
  </HeadingPairs>
  <TitlesOfParts>
    <vt:vector size="39" baseType="lpstr">
      <vt:lpstr>52 </vt:lpstr>
      <vt:lpstr>36 (2)</vt:lpstr>
      <vt:lpstr>List1</vt:lpstr>
      <vt:lpstr>ZDROJ!</vt:lpstr>
      <vt:lpstr>kontrola</vt:lpstr>
      <vt:lpstr>80</vt:lpstr>
      <vt:lpstr>80zdroj</vt:lpstr>
      <vt:lpstr>76</vt:lpstr>
      <vt:lpstr>76zdroj</vt:lpstr>
      <vt:lpstr>72</vt:lpstr>
      <vt:lpstr>72zdroj</vt:lpstr>
      <vt:lpstr>68</vt:lpstr>
      <vt:lpstr>68zdroj</vt:lpstr>
      <vt:lpstr>64</vt:lpstr>
      <vt:lpstr>64zdroj</vt:lpstr>
      <vt:lpstr>60</vt:lpstr>
      <vt:lpstr>60zdroj</vt:lpstr>
      <vt:lpstr>56</vt:lpstr>
      <vt:lpstr>56zdroj</vt:lpstr>
      <vt:lpstr>52</vt:lpstr>
      <vt:lpstr>52zdroj</vt:lpstr>
      <vt:lpstr>48</vt:lpstr>
      <vt:lpstr>48zdroj</vt:lpstr>
      <vt:lpstr>44</vt:lpstr>
      <vt:lpstr>44zdroj</vt:lpstr>
      <vt:lpstr>40</vt:lpstr>
      <vt:lpstr>40zdroj</vt:lpstr>
      <vt:lpstr>36</vt:lpstr>
      <vt:lpstr>36zdroj</vt:lpstr>
      <vt:lpstr>32</vt:lpstr>
      <vt:lpstr>32zdroj</vt:lpstr>
      <vt:lpstr>28</vt:lpstr>
      <vt:lpstr>28zdroj</vt:lpstr>
      <vt:lpstr>24</vt:lpstr>
      <vt:lpstr>24zdroj</vt:lpstr>
      <vt:lpstr>20</vt:lpstr>
      <vt:lpstr>20zdroj</vt:lpstr>
      <vt:lpstr>12</vt:lpstr>
      <vt:lpstr>12zdroj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Honza Dalecký</cp:lastModifiedBy>
  <cp:lastPrinted>2015-02-14T09:02:40Z</cp:lastPrinted>
  <dcterms:created xsi:type="dcterms:W3CDTF">2014-05-10T17:18:53Z</dcterms:created>
  <dcterms:modified xsi:type="dcterms:W3CDTF">2023-02-18T08:21:34Z</dcterms:modified>
</cp:coreProperties>
</file>